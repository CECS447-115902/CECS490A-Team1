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BOM" sheetId="3" state="visible" r:id="rId5"/>
    <sheet name="Power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<sst xmlns="http://schemas.openxmlformats.org/spreadsheetml/2006/main" count="536" uniqueCount="356">
  <si>
    <t xml:space="preserve">BandLink — BOM &amp; power summary</t>
  </si>
  <si>
    <t xml:space="preserve">CECS 490A Team 1 · scope: MVP + Stretch 1 + Stretch 2 · all values recalc from BOM / Power / Inputs tabs</t>
  </si>
  <si>
    <t xml:space="preserve">Section</t>
  </si>
  <si>
    <t xml:space="preserve">MVP $</t>
  </si>
  <si>
    <t xml:space="preserve">S1 $</t>
  </si>
  <si>
    <t xml:space="preserve">S2 $</t>
  </si>
  <si>
    <t xml:space="preserve">Per unit/set $</t>
  </si>
  <si>
    <t xml:space="preserve">Multiplier</t>
  </si>
  <si>
    <t xml:space="preserve">Section total $</t>
  </si>
  <si>
    <t xml:space="preserve">Dev bring-up (per set)</t>
  </si>
  <si>
    <t xml:space="preserve">Custom PCB (per bracelet)</t>
  </si>
  <si>
    <t xml:space="preserve">Team tools (one-time)</t>
  </si>
  <si>
    <t xml:space="preserve">Project total</t>
  </si>
  <si>
    <t xml:space="preserve">MVP-only spend (dev sets + MVP tools)</t>
  </si>
  <si>
    <t xml:space="preserve">Line items priced as estimates</t>
  </si>
  <si>
    <t xml:space="preserve">Power (final build)</t>
  </si>
  <si>
    <t xml:space="preserve">Standby</t>
  </si>
  <si>
    <t xml:space="preserve">Typical</t>
  </si>
  <si>
    <t xml:space="preserve">Finding</t>
  </si>
  <si>
    <t xml:space="preserve">Blended day</t>
  </si>
  <si>
    <t xml:space="preserve">R-03 target</t>
  </si>
  <si>
    <t xml:space="preserve">Battery current (mA)</t>
  </si>
  <si>
    <t xml:space="preserve">Runtime (h)</t>
  </si>
  <si>
    <t xml:space="preserve">Managed peak at battery (mA) / C-rate</t>
  </si>
  <si>
    <t xml:space="preserve">LoRa time on air per packet (s) / FCC dwell</t>
  </si>
  <si>
    <t xml:space="preserve">Design decisions baked into this BOM</t>
  </si>
  <si>
    <t xml:space="preserve">1. BQ25120A dropped as the system regulator: its 300 mA buck is below the ~350 mA managed rail peak (530 mA worst case). TPS63802 buck-boost for 3.3 V, BQ25180 for charging.</t>
  </si>
  <si>
    <t xml:space="preserve">2. SX1262 VBAT abs-max is below a full LiPo (4.2 V): radio sits on the 3.3 V rail, never on raw battery.</t>
  </si>
  <si>
    <t xml:space="preserve">3. Biggest power levers, in order: GNSS duty (power-save / cyclic tracking), LoRa RX scheduling (GPS-synced TDMA, Inputs!B28), AMOLED on-time.</t>
  </si>
  <si>
    <t xml:space="preserve">4. Firmware interlock: never run the NFC field during LoRa TX or UWB ranging - keeps the peak inside the cell's pulse rating.</t>
  </si>
  <si>
    <t xml:space="preserve">5. UWB (S2) is distance-only; direction still comes from GPS bearing + BNO085 rotation-vector heading.</t>
  </si>
  <si>
    <t xml:space="preserve">6. Multi-hop relay (S2) is firmware-only - no BOM cost, modeled as the relay TX multiplier on the Power tab.</t>
  </si>
  <si>
    <t xml:space="preserve">7. Red 'Estimate' prices on the BOM tab need a distributor check before the order goes in.</t>
  </si>
  <si>
    <t xml:space="preserve">Inputs &amp; assumptions</t>
  </si>
  <si>
    <t xml:space="preserve">Blue = editable input. Yellow = key assumption worth measuring. Black = formula.</t>
  </si>
  <si>
    <t xml:space="preserve">Bracelets to build (custom PCB, 490B)</t>
  </si>
  <si>
    <t xml:space="preserve">2 for demo + 1 spare</t>
  </si>
  <si>
    <t xml:space="preserve">Dev-board sets (490A bring-up)</t>
  </si>
  <si>
    <t xml:space="preserve">One set per bracelet for the 500 m MVP test</t>
  </si>
  <si>
    <t xml:space="preserve">Battery capacity (mAh)</t>
  </si>
  <si>
    <t xml:space="preserve">Adafruit 1578, 500 mAh w/ PCM, 29x36x4.75 mm (was 370 mAh Jauch LP402535)</t>
  </si>
  <si>
    <t xml:space="preserve">Usable capacity fraction</t>
  </si>
  <si>
    <t xml:space="preserve">Cutoff at 3.0 V, aging, cold; small LiPo cells rarely deliver rated mAh at load</t>
  </si>
  <si>
    <t xml:space="preserve">Battery nominal voltage (V)</t>
  </si>
  <si>
    <t xml:space="preserve">Main rail voltage (V)</t>
  </si>
  <si>
    <t xml:space="preserve">All loads modeled at 3.3 V rail; 1.8 V loads sit behind an LDO from 3.3 V</t>
  </si>
  <si>
    <t xml:space="preserve">Buck-boost efficiency (typical load)</t>
  </si>
  <si>
    <t xml:space="preserve">TPS63802-class at 10-100 mA</t>
  </si>
  <si>
    <t xml:space="preserve">R-03 runtime target (h)</t>
  </si>
  <si>
    <t xml:space="preserve">From proposal R-03</t>
  </si>
  <si>
    <t xml:space="preserve">Battery min voltage (V)</t>
  </si>
  <si>
    <t xml:space="preserve">Worst case for peak-current check</t>
  </si>
  <si>
    <t xml:space="preserve">Buck-boost efficiency at peak load</t>
  </si>
  <si>
    <t xml:space="preserve">Battery max pulse discharge (C)</t>
  </si>
  <si>
    <t xml:space="preserve">Check the actual cell datasheet; many small cells are 1C cont / 2C pulse</t>
  </si>
  <si>
    <t xml:space="preserve">LoRa airtime (Semtech SX126x time-on-air formula)</t>
  </si>
  <si>
    <t xml:space="preserve">Spreading factor (SF)</t>
  </si>
  <si>
    <t xml:space="preserve">SF9 is a reasonable start for 0.5-1 km wrist-to-wrist</t>
  </si>
  <si>
    <t xml:space="preserve">Bandwidth (Hz)</t>
  </si>
  <si>
    <t xml:space="preserve">Coding rate index (1 = 4/5)</t>
  </si>
  <si>
    <t xml:space="preserve">Preamble symbols</t>
  </si>
  <si>
    <t xml:space="preserve">Payload bytes</t>
  </si>
  <si>
    <t xml:space="preserve">id 2 + seq 2 + lat/lon 8 + alt 2 + time 4 + flags 2 + AES-CCM MIC 4</t>
  </si>
  <si>
    <t xml:space="preserve">CRC on (1/0)</t>
  </si>
  <si>
    <t xml:space="preserve">Implicit header (1/0)</t>
  </si>
  <si>
    <t xml:space="preserve">Low data rate optimize (auto)</t>
  </si>
  <si>
    <t xml:space="preserve">Required for symbol time &gt; 16 ms</t>
  </si>
  <si>
    <t xml:space="preserve">Symbol time (s)</t>
  </si>
  <si>
    <t xml:space="preserve">Time on air per packet (s)</t>
  </si>
  <si>
    <t xml:space="preserve">FCC 15.247 dwell limit per channel (s)</t>
  </si>
  <si>
    <t xml:space="preserve">Max 0.4 s per hop channel in a 20 s window (915 MHz FHSS)</t>
  </si>
  <si>
    <t xml:space="preserve">Dwell check</t>
  </si>
  <si>
    <t xml:space="preserve">GPS-synced TDMA RX (1 = on, 0 = continuous RX)</t>
  </si>
  <si>
    <t xml:space="preserve">Biggest single power lever: wake RX only in peers' PPS-aligned slots</t>
  </si>
  <si>
    <t xml:space="preserve">Paired peers in group</t>
  </si>
  <si>
    <t xml:space="preserve">RX guard per slot (s)</t>
  </si>
  <si>
    <t xml:space="preserve">PPS jitter + SX1262 wake/calibration</t>
  </si>
  <si>
    <t xml:space="preserve">Bill of materials — scope locked through Stretch 2</t>
  </si>
  <si>
    <t xml:space="preserve">Prices are USD at qty 1-10. 'Sourced' = distributor listing found Oct 2026; 'Estimate' = verify before ordering. Tier: MVP / S1 / S2.</t>
  </si>
  <si>
    <t xml:space="preserve">#</t>
  </si>
  <si>
    <t xml:space="preserve">Subsystem</t>
  </si>
  <si>
    <t xml:space="preserve">Part</t>
  </si>
  <si>
    <t xml:space="preserve">MPN / SKU</t>
  </si>
  <si>
    <t xml:space="preserve">Tier</t>
  </si>
  <si>
    <t xml:space="preserve">Interface / bus</t>
  </si>
  <si>
    <t xml:space="preserve">Qty</t>
  </si>
  <si>
    <t xml:space="preserve">Unit $</t>
  </si>
  <si>
    <t xml:space="preserve">Ext $</t>
  </si>
  <si>
    <t xml:space="preserve">Price basis</t>
  </si>
  <si>
    <t xml:space="preserve">Notes</t>
  </si>
  <si>
    <t xml:space="preserve">MCU</t>
  </si>
  <si>
    <t xml:space="preserve">NUCLEO-U5A5ZJ-Q</t>
  </si>
  <si>
    <t xml:space="preserve">MVP</t>
  </si>
  <si>
    <t xml:space="preserve">SWD / USB</t>
  </si>
  <si>
    <t xml:space="preserve">Estimate</t>
  </si>
  <si>
    <t xml:space="preserve">Same U5 family + 2.5 MB SRAM, no GPU. MVP firmware runs here; port to U5A9 is pin/HAL-level.</t>
  </si>
  <si>
    <t xml:space="preserve">GNSS</t>
  </si>
  <si>
    <t xml:space="preserve">SparkFun GNSS Breakout MAX-M10S (Qwiic)</t>
  </si>
  <si>
    <t xml:space="preserve">GPS-18037</t>
  </si>
  <si>
    <t xml:space="preserve">UART (or I2C 0x42) + PPS</t>
  </si>
  <si>
    <t xml:space="preserve">Wire PPS to an EXTI/timer-capture pin now; TDMA depends on it.</t>
  </si>
  <si>
    <t xml:space="preserve">LoRa</t>
  </si>
  <si>
    <t xml:space="preserve">SX1262 915 MHz breakout + SMA whip</t>
  </si>
  <si>
    <t xml:space="preserve">e.g. Waveshare Core1262-HF</t>
  </si>
  <si>
    <t xml:space="preserve">SPI + BUSY + DIO1 + NRESET</t>
  </si>
  <si>
    <t xml:space="preserve">Must poll BUSY before every SPI command.</t>
  </si>
  <si>
    <t xml:space="preserve">NFC</t>
  </si>
  <si>
    <t xml:space="preserve">MIKROE NFC 2 Click</t>
  </si>
  <si>
    <t xml:space="preserve">PN7150</t>
  </si>
  <si>
    <t xml:space="preserve">I2C + IRQ + VEN</t>
  </si>
  <si>
    <t xml:space="preserve">Sourced</t>
  </si>
  <si>
    <t xml:space="preserve">SparkFun listed $34.95 (retired there); buy from MIKROE.</t>
  </si>
  <si>
    <t xml:space="preserve">IMU (9-DOF fusion)</t>
  </si>
  <si>
    <t xml:space="preserve">Adafruit BNO085 9-DOF Orientation IMU Fusion Breakout (STEMMA QT)</t>
  </si>
  <si>
    <t xml:space="preserve">Adafruit 4754</t>
  </si>
  <si>
    <t xml:space="preserve">I2C 0x4A + INT + RST (SPI via PS0/PS1 jumpers)</t>
  </si>
  <si>
    <t xml:space="preserve">Team choice. Accel + gyro + mag + on-chip fusion: firmware reads a rotation-vector quaternion, so no host-side compass fusion or tilt compensation. Host I2C must support clock stretching.</t>
  </si>
  <si>
    <t xml:space="preserve">Display</t>
  </si>
  <si>
    <t xml:space="preserve">1.28" round TFT 240x240</t>
  </si>
  <si>
    <t xml:space="preserve">GC9A01 module</t>
  </si>
  <si>
    <t xml:space="preserve">SPI</t>
  </si>
  <si>
    <t xml:space="preserve">Cheap MVP screen; LVGL port carries over to AMOLED.</t>
  </si>
  <si>
    <t xml:space="preserve">Haptic</t>
  </si>
  <si>
    <t xml:space="preserve">Coin ERM motor + MOSFET</t>
  </si>
  <si>
    <t xml:space="preserve">generic 10 mm ERM</t>
  </si>
  <si>
    <t xml:space="preserve">GPIO / PWM</t>
  </si>
  <si>
    <t xml:space="preserve">Power</t>
  </si>
  <si>
    <t xml:space="preserve">USB power bank (field test)</t>
  </si>
  <si>
    <t xml:space="preserve">generic</t>
  </si>
  <si>
    <t xml:space="preserve">USB</t>
  </si>
  <si>
    <t xml:space="preserve">Powers dev boards for the 500 m walk test.</t>
  </si>
  <si>
    <t xml:space="preserve">1.43" AMOLED 466x466 module w/ touch</t>
  </si>
  <si>
    <t xml:space="preserve">Waveshare 1.43" AMOLED (CO5300)</t>
  </si>
  <si>
    <t xml:space="preserve">S1</t>
  </si>
  <si>
    <t xml:space="preserve">QSPI (OCTOSPI) + I2C touch + TE</t>
  </si>
  <si>
    <t xml:space="preserve">Confirm driver IC (CO5300 vs SH8601) on the exact listing.</t>
  </si>
  <si>
    <t xml:space="preserve">DRV2605L breakout + 8 mm LRA</t>
  </si>
  <si>
    <t xml:space="preserve">Adafruit 2305 + G0832022D-class LRA</t>
  </si>
  <si>
    <t xml:space="preserve">I2C + EN</t>
  </si>
  <si>
    <t xml:space="preserve">Run DRV2605L auto-calibration per LRA.</t>
  </si>
  <si>
    <t xml:space="preserve">Crown</t>
  </si>
  <si>
    <t xml:space="preserve">Bourns PEC06 encoder w/ switch</t>
  </si>
  <si>
    <t xml:space="preserve">PEC06</t>
  </si>
  <si>
    <t xml:space="preserve">2x GPIO (TIM encoder mode) + 1 GPIO</t>
  </si>
  <si>
    <t xml:space="preserve">6 pulses/rev; RC filter per Bourns app circuit.</t>
  </si>
  <si>
    <t xml:space="preserve">MAX17048 fuel gauge breakout</t>
  </si>
  <si>
    <t xml:space="preserve">Adafruit 5580</t>
  </si>
  <si>
    <t xml:space="preserve">I2C + ALRT</t>
  </si>
  <si>
    <t xml:space="preserve">UWB</t>
  </si>
  <si>
    <t xml:space="preserve">Qorvo DWM3000EVB (Arduino shield)</t>
  </si>
  <si>
    <t xml:space="preserve">DWM3000EVB</t>
  </si>
  <si>
    <t xml:space="preserve">S2</t>
  </si>
  <si>
    <t xml:space="preserve">SPI + IRQ + WAKEUP + RSTn</t>
  </si>
  <si>
    <t xml:space="preserve">Distance only (single antenna) - no direction arrow.</t>
  </si>
  <si>
    <t xml:space="preserve">STM32U5A9 4 MB flash, 2.5 MB SRAM, NeoChrom</t>
  </si>
  <si>
    <t xml:space="preserve">STM32U5A9VJT6Q (LQFP100)</t>
  </si>
  <si>
    <t xml:space="preserve">-</t>
  </si>
  <si>
    <t xml:space="preserve">ST eStore $9.96 @10k. LQFP avoids BGA. Verify OCTOSPI pin availability for QSPI panel in LQFP100.</t>
  </si>
  <si>
    <t xml:space="preserve">32.768 kHz + HSE crystals</t>
  </si>
  <si>
    <t xml:space="preserve">LSE needed for RTC/LPTIM in Stop 2.</t>
  </si>
  <si>
    <t xml:space="preserve">u-blox MAX-M10S</t>
  </si>
  <si>
    <t xml:space="preserve">MAX-M10S-00B</t>
  </si>
  <si>
    <t xml:space="preserve">UART + PPS + RESET_N</t>
  </si>
  <si>
    <t xml:space="preserve">Integrated LNA + SAW: passive antenna OK.</t>
  </si>
  <si>
    <t xml:space="preserve">L1 chip antenna</t>
  </si>
  <si>
    <t xml:space="preserve">RF</t>
  </si>
  <si>
    <t xml:space="preserve">Needs ground plane + keepout; wrist detunes it.</t>
  </si>
  <si>
    <t xml:space="preserve">SX1262 module, 22 dBm, TCXO</t>
  </si>
  <si>
    <t xml:space="preserve">e.g. Ebyte E22-900M22S</t>
  </si>
  <si>
    <t xml:space="preserve">SPI + BUSY + DIO1 + NRESET + RXEN/TXEN</t>
  </si>
  <si>
    <t xml:space="preserve">Module avoids chip-down RF layout. SX1262 VBAT max 3.7 V - feed from 3.3 V rail, never raw battery.</t>
  </si>
  <si>
    <t xml:space="preserve">915 MHz antenna (FPC/chip)</t>
  </si>
  <si>
    <t xml:space="preserve">NXP PN7150 NFC controller</t>
  </si>
  <si>
    <t xml:space="preserve">PN7150B0HN/C11002</t>
  </si>
  <si>
    <t xml:space="preserve">Farnell EUR 8.98 @5. PN7160 drops P2P - if you switch, pair via card emulation instead.</t>
  </si>
  <si>
    <t xml:space="preserve">NFC antenna coil + matching network</t>
  </si>
  <si>
    <t xml:space="preserve">PCB trace or FPC</t>
  </si>
  <si>
    <t xml:space="preserve">Metal/battery under coil kills coupling - use ferrite sheet.</t>
  </si>
  <si>
    <t xml:space="preserve">CEVA BNO085 + 32.768 kHz crystal</t>
  </si>
  <si>
    <t xml:space="preserve">BNO085</t>
  </si>
  <si>
    <t xml:space="preserve">SPI (PS0/PS1 = 1/1) + H_INTN + NRST + PS0/WAKE</t>
  </si>
  <si>
    <t xml:space="preserve">VDD 2.4-3.6 V on the 3.3 V rail. Use SPI on the custom PCB to avoid BNO08x I2C quirks. BOOTN to a test pad for firmware updates. Keep away from the LRA magnet and battery.</t>
  </si>
  <si>
    <t xml:space="preserve">3.3 V buck-boost</t>
  </si>
  <si>
    <t xml:space="preserve">TPS63802</t>
  </si>
  <si>
    <t xml:space="preserve">Replaces BQ25120A buck (300 mA max is below the ~350 mA managed rail peak).</t>
  </si>
  <si>
    <t xml:space="preserve">1.8 V LDO</t>
  </si>
  <si>
    <t xml:space="preserve">TLV75518P</t>
  </si>
  <si>
    <t xml:space="preserve">PN7150 pad supply (VDD(PAD) 1.65-1.95 V).</t>
  </si>
  <si>
    <t xml:space="preserve">Battery</t>
  </si>
  <si>
    <t xml:space="preserve">LiPo 500 mAh w/ PCM, 29x36x4.75 mm</t>
  </si>
  <si>
    <t xml:space="preserve">Adafruit 1578</t>
  </si>
  <si>
    <t xml:space="preserve">Adafruit $7.95 qty1-9, 10.5 g, PCM cuts off at 3.0 V. Charge at &lt;=1C (no thermistor in pack). Max discharge not published - confirm.</t>
  </si>
  <si>
    <t xml:space="preserve">PCB</t>
  </si>
  <si>
    <t xml:space="preserve">4-layer PCB, ~40 mm round</t>
  </si>
  <si>
    <t xml:space="preserve">JLC-class</t>
  </si>
  <si>
    <t xml:space="preserve">Per-board share of a 5-pc order.</t>
  </si>
  <si>
    <t xml:space="preserve">Misc</t>
  </si>
  <si>
    <t xml:space="preserve">Passives, ESD/TVS, connectors</t>
  </si>
  <si>
    <t xml:space="preserve">Mech</t>
  </si>
  <si>
    <t xml:space="preserve">Enclosure + strap</t>
  </si>
  <si>
    <t xml:space="preserve">3D printed</t>
  </si>
  <si>
    <t xml:space="preserve">1.43" AMOLED 466x466 panel w/ CTP</t>
  </si>
  <si>
    <t xml:space="preserve">CO5300 / SH8601 QSPI panel</t>
  </si>
  <si>
    <t xml:space="preserve">QSPI + TE + RESET + I2C touch</t>
  </si>
  <si>
    <t xml:space="preserve">Check whether FPC needs external ELVDD/ELVSS supply - adds a PMIC if so.</t>
  </si>
  <si>
    <t xml:space="preserve">Haptic driver</t>
  </si>
  <si>
    <t xml:space="preserve">DRV2605LDGST</t>
  </si>
  <si>
    <t xml:space="preserve">8 mm coin LRA, 235 Hz</t>
  </si>
  <si>
    <t xml:space="preserve">0832-class</t>
  </si>
  <si>
    <t xml:space="preserve">Bourns PEC06 encoder</t>
  </si>
  <si>
    <t xml:space="preserve">GPIO</t>
  </si>
  <si>
    <t xml:space="preserve">Linear charger w/ power path</t>
  </si>
  <si>
    <t xml:space="preserve">BQ25180</t>
  </si>
  <si>
    <t xml:space="preserve">I2C + INT</t>
  </si>
  <si>
    <t xml:space="preserve">Power path keeps system alive while charging on the dock.</t>
  </si>
  <si>
    <t xml:space="preserve">Fuel gauge</t>
  </si>
  <si>
    <t xml:space="preserve">MAX17048G+T10</t>
  </si>
  <si>
    <t xml:space="preserve">3 uA hibernate / 23 uA active.</t>
  </si>
  <si>
    <t xml:space="preserve">Magnetic pogo connector, 4-pin</t>
  </si>
  <si>
    <t xml:space="preserve">VBUS, GND, UART TX/RX</t>
  </si>
  <si>
    <t xml:space="preserve">UART on pogo = bootloader + debug console on the dock.</t>
  </si>
  <si>
    <t xml:space="preserve">Qorvo DWM3000 module</t>
  </si>
  <si>
    <t xml:space="preserve">DWM3000TR13</t>
  </si>
  <si>
    <t xml:space="preserve">DigiKey EUR 20.33. Use channel 5 (lower current than ch 9).</t>
  </si>
  <si>
    <t xml:space="preserve">UI dev</t>
  </si>
  <si>
    <t xml:space="preserve">STM32U5G9J-DK1 Discovery</t>
  </si>
  <si>
    <t xml:space="preserve">STM32U5G9J-DK1</t>
  </si>
  <si>
    <t xml:space="preserve">Farnell EUR 86.14. NeoChrom + round display for LVGL bring-up. The U5A9J-DK is NRND.</t>
  </si>
  <si>
    <t xml:space="preserve">Debug</t>
  </si>
  <si>
    <t xml:space="preserve">STLINK-V3MINIE</t>
  </si>
  <si>
    <t xml:space="preserve">SWD</t>
  </si>
  <si>
    <t xml:space="preserve">Tag-Connect cable</t>
  </si>
  <si>
    <t xml:space="preserve">TC2030-CTX-NL</t>
  </si>
  <si>
    <t xml:space="preserve">Lets the custom PCB skip a debug header.</t>
  </si>
  <si>
    <t xml:space="preserve">Test</t>
  </si>
  <si>
    <t xml:space="preserve">Power profiler</t>
  </si>
  <si>
    <t xml:space="preserve">Nordic PPK2</t>
  </si>
  <si>
    <t xml:space="preserve">Measures the duty-cycle numbers on the Power tab instead of guessing them.</t>
  </si>
  <si>
    <t xml:space="preserve">Power budget — final build (MVP + S1 + S2 hardware)</t>
  </si>
  <si>
    <t xml:space="preserve">Currents at the 3.3 V rail. Avg = active x duty + sleep x (1 - duty). Edit blue duty cycles after measuring with the PPK2.</t>
  </si>
  <si>
    <t xml:space="preserve">Scenario parameters</t>
  </si>
  <si>
    <t xml:space="preserve">Standby tracking</t>
  </si>
  <si>
    <t xml:space="preserve">Typical event</t>
  </si>
  <si>
    <t xml:space="preserve">Active finding</t>
  </si>
  <si>
    <t xml:space="preserve">Own position TX interval (s)</t>
  </si>
  <si>
    <t xml:space="preserve">Relay TX multiplier (S2 multi-hop)</t>
  </si>
  <si>
    <t xml:space="preserve">Share of an 8 h event day</t>
  </si>
  <si>
    <t xml:space="preserve">&lt;- must be 100%</t>
  </si>
  <si>
    <t xml:space="preserve">LoRa TX duty</t>
  </si>
  <si>
    <t xml:space="preserve">LoRa RX duty</t>
  </si>
  <si>
    <t xml:space="preserve">Component</t>
  </si>
  <si>
    <t xml:space="preserve">Active state</t>
  </si>
  <si>
    <t xml:space="preserve">Active mA</t>
  </si>
  <si>
    <t xml:space="preserve">Sleep mA</t>
  </si>
  <si>
    <t xml:space="preserve">Duty: Standby</t>
  </si>
  <si>
    <t xml:space="preserve">Duty: Typical</t>
  </si>
  <si>
    <t xml:space="preserve">Duty: Finding</t>
  </si>
  <si>
    <t xml:space="preserve">Avg mA: Standby</t>
  </si>
  <si>
    <t xml:space="preserve">Avg mA: Typical</t>
  </si>
  <si>
    <t xml:space="preserve">Avg mA: Finding</t>
  </si>
  <si>
    <t xml:space="preserve">Peak mA</t>
  </si>
  <si>
    <t xml:space="preserve">Basis</t>
  </si>
  <si>
    <t xml:space="preserve">MCU STM32U5A9</t>
  </si>
  <si>
    <t xml:space="preserve">Run 160 MHz + DMA/GPU; sleep = Stop 2, full SRAM</t>
  </si>
  <si>
    <t xml:space="preserve">ST: 18.5 uA/MHz run (=3 mA core @160 MHz), 17.5 uA Stop 2 w/ 2.5 MB SRAM. 8 mA active adds GPU/OCTOSPI/DMA - estimate.</t>
  </si>
  <si>
    <t xml:space="preserve">GNSS MAX-M10S</t>
  </si>
  <si>
    <t xml:space="preserve">Continuous tracking; sleep = backup</t>
  </si>
  <si>
    <t xml:space="preserve">u-blox: &lt;25 mW continuous tracking (~7.6 mA @3.3 V). Peak = acquisition. Backup current estimate.</t>
  </si>
  <si>
    <t xml:space="preserve">LoRa SX1262 TX</t>
  </si>
  <si>
    <t xml:space="preserve">+22 dBm</t>
  </si>
  <si>
    <t xml:space="preserve">Semtech: 118 mA @ +22 dBm. Duty from Inputs time-on-air / interval x relay.</t>
  </si>
  <si>
    <t xml:space="preserve">LoRa SX1262 RX</t>
  </si>
  <si>
    <t xml:space="preserve">LoRa RX 125 kHz; sleep = warm-start sleep</t>
  </si>
  <si>
    <t xml:space="preserve">Semtech: 4.6 mA RX (DC-DC). Sleep ~0.6 uA.</t>
  </si>
  <si>
    <t xml:space="preserve">UWB DWM3000</t>
  </si>
  <si>
    <t xml:space="preserve">DS-TWR @10 Hz, RX-dominated; sleep = deep sleep</t>
  </si>
  <si>
    <t xml:space="preserve">DigiKey: RX 50-55 mA, TX 40-45 mA; sleep 0.26-0.85 uA. 3% = ~3 ms radio-on per 100 ms exchange - estimate.</t>
  </si>
  <si>
    <t xml:space="preserve">NFC PN7150</t>
  </si>
  <si>
    <t xml:space="preserve">RF field polling (pairing only); sleep = standby/HPD</t>
  </si>
  <si>
    <t xml:space="preserve">NXP: 180 mA max RF driver current. Active avg + standby are estimates; keep in HPD via VEN except during pairing.</t>
  </si>
  <si>
    <t xml:space="preserve">IMU BNO085 (9-DOF fusion)</t>
  </si>
  <si>
    <t xml:space="preserve">Rotation vector (accel+gyro+mag fusion); sleep = accel-only significant-motion/tap wake</t>
  </si>
  <si>
    <t xml:space="preserve">CEVA BNO08X DS v1.16 sensor-metadata example: rotation vector 5.30 mA operating. Sleep 0.1 mA and 10 mA peak are estimates - DS power figures (sec 6.10) not extracted; measure with PPK2.</t>
  </si>
  <si>
    <t xml:space="preserve">AMOLED 1.43" 466x466</t>
  </si>
  <si>
    <t xml:space="preserve">Dark UI (~30-40% APL); sleep = sleep-in</t>
  </si>
  <si>
    <t xml:space="preserve">Panel spec: ELVDD/ELVSS 33 mA + VCI 6 + VDDIO 3 mA typ (full pattern) = 42 peak. 20 mA dark-UI figure is an estimate - measure.</t>
  </si>
  <si>
    <t xml:space="preserve">Haptic DRV2605L + LRA</t>
  </si>
  <si>
    <t xml:space="preserve">LRA drive; sleep = EN low</t>
  </si>
  <si>
    <t xml:space="preserve">LRA 0832: 58-80 mA rated. Driver standby estimate.</t>
  </si>
  <si>
    <t xml:space="preserve">Fuel gauge MAX17048</t>
  </si>
  <si>
    <t xml:space="preserve">Active; sleep = hibernate</t>
  </si>
  <si>
    <t xml:space="preserve">ADI: 23 uA active, 3 uA hibernate (sits on battery; small modeling error).</t>
  </si>
  <si>
    <t xml:space="preserve">Regulator / charger Iq</t>
  </si>
  <si>
    <t xml:space="preserve">TPS63802 + LDO + BQ25180</t>
  </si>
  <si>
    <t xml:space="preserve">Estimate - check TPS63802 Iq in the mode you configure.</t>
  </si>
  <si>
    <t xml:space="preserve">Encoder pull-ups + leakage</t>
  </si>
  <si>
    <t xml:space="preserve">Estimate.</t>
  </si>
  <si>
    <t xml:space="preserve">Total rail current (mA @3.3 V)</t>
  </si>
  <si>
    <t xml:space="preserve">Meets R-03?</t>
  </si>
  <si>
    <t xml:space="preserve">Blended 8 h event day — avg battery current (mA)</t>
  </si>
  <si>
    <t xml:space="preserve">Blended runtime (h)</t>
  </si>
  <si>
    <t xml:space="preserve">Blended margin vs R-03 (h)</t>
  </si>
  <si>
    <t xml:space="preserve">Peak current check</t>
  </si>
  <si>
    <t xml:space="preserve">Worst-case simultaneous peak, rail (mA)</t>
  </si>
  <si>
    <t xml:space="preserve">Managed peak: firmware interlock, no NFC field during LoRa TX / UWB (mA)</t>
  </si>
  <si>
    <t xml:space="preserve">Managed peak at battery, Vbat min (mA)</t>
  </si>
  <si>
    <t xml:space="preserve">Managed peak C-rate</t>
  </si>
  <si>
    <t xml:space="preserve">Within cell pulse rating?</t>
  </si>
  <si>
    <t xml:space="preserve">BQ25120A 300 mA buck sufficient?</t>
  </si>
  <si>
    <t xml:space="preserve">Sources (checked Oct 2026)</t>
  </si>
  <si>
    <t xml:space="preserve">Item</t>
  </si>
  <si>
    <t xml:space="preserve">URL</t>
  </si>
  <si>
    <t xml:space="preserve">STM32U599/U5A9 power figures</t>
  </si>
  <si>
    <t xml:space="preserve">https://www.st.com/en/microcontrollers-microprocessors/stm32u599nj.html</t>
  </si>
  <si>
    <t xml:space="preserve">STM32U5A9VJT6Q price ($9.96 @10k)</t>
  </si>
  <si>
    <t xml:space="preserve">https://estore.st.com/en/products/microcontrollers-microprocessors/stm32-32-bit-arm-cortex-mcus/stm32-ultra-low-power-mcus/stm32u5-series/stm32u599-5a9/stm32u5a9vj.html</t>
  </si>
  <si>
    <t xml:space="preserve">STM32U5G9J-DK1 (active) / U5A9J-DK (NRND)</t>
  </si>
  <si>
    <t xml:space="preserve">https://st.com/en/evaluation-tools/stm32u5g9j-dk1.html</t>
  </si>
  <si>
    <t xml:space="preserve">STM32U5G9J-DK1 price</t>
  </si>
  <si>
    <t xml:space="preserve">https://fr.farnell.com/stmicroelectronics/stm32u5g9j-dk1/kit-discovery-32bit-arm-cortex/dp/4308671</t>
  </si>
  <si>
    <t xml:space="preserve">MAX-M10S datasheet</t>
  </si>
  <si>
    <t xml:space="preserve">https://content.u-blox.com/sites/default/files/MAX-M10S_DataSheet_UBX-20035208.pdf</t>
  </si>
  <si>
    <t xml:space="preserve">SparkFun MAX-M10S breakout</t>
  </si>
  <si>
    <t xml:space="preserve">https://sparkfun.com/products/18037</t>
  </si>
  <si>
    <t xml:space="preserve">SX1262 product page</t>
  </si>
  <si>
    <t xml:space="preserve">https://www.semtech.com/products/wireless-rf/lora-connect/sx1262</t>
  </si>
  <si>
    <t xml:space="preserve">SX1262 TX/RX currents</t>
  </si>
  <si>
    <t xml:space="preserve">https://everythingrf.com/products/rf-transceivers/semtech/531-690-sx1262</t>
  </si>
  <si>
    <t xml:space="preserve">DWM3000TR13 (DigiKey)</t>
  </si>
  <si>
    <t xml:space="preserve">https://www.digikey.fr/en/products/detail/qorvo/DWM3000TR13/24367320</t>
  </si>
  <si>
    <t xml:space="preserve">DWM3000 sleep current</t>
  </si>
  <si>
    <t xml:space="preserve">https://www.everythingrf.com/products/rf-modules/qorvo/528-483-dwm3000</t>
  </si>
  <si>
    <t xml:space="preserve">PN7150 price</t>
  </si>
  <si>
    <t xml:space="preserve">https://fr.farnell.com/nxp/pn7150b0hn-c11002y/rfid-lect-ecrit-13-56mhz-hvqfn/dp/2663167</t>
  </si>
  <si>
    <t xml:space="preserve">NFC 2 Click (PN7150)</t>
  </si>
  <si>
    <t xml:space="preserve">https://www.sparkfun.com/products/18779</t>
  </si>
  <si>
    <t xml:space="preserve">Adafruit BNO085 breakout (4754), $29.50</t>
  </si>
  <si>
    <t xml:space="preserve">https://www.adafruit.com/products/4754</t>
  </si>
  <si>
    <t xml:space="preserve">Adafruit BNO085 guide (I2C quirks)</t>
  </si>
  <si>
    <t xml:space="preserve">https://learn.adafruit.com/adafruit-9-dof-orientation-imu-fusion-breakout-bno085/overview</t>
  </si>
  <si>
    <t xml:space="preserve">CEVA BNO08X datasheet</t>
  </si>
  <si>
    <t xml:space="preserve">https://www.ceva-ip.com/wp-content/uploads/BNO080_085-Datasheet.pdf</t>
  </si>
  <si>
    <t xml:space="preserve">1.43" AMOLED panel power spec</t>
  </si>
  <si>
    <t xml:space="preserve">https://atta.szlcsc.com/upload/public/pdf/source/20250918/0EE5B149EEEC300C09910D138CD902A9.pdf</t>
  </si>
  <si>
    <t xml:space="preserve">Waveshare 1.43" AMOLED (CO5300/SH8601)</t>
  </si>
  <si>
    <t xml:space="preserve">https://www.waveshare.com/product/esp32-s3-touch-amoled-1.43.htm</t>
  </si>
  <si>
    <t xml:space="preserve">BQ25120A (300 mA buck limit)</t>
  </si>
  <si>
    <t xml:space="preserve">https://ti.com/product/BQ25120A</t>
  </si>
  <si>
    <t xml:space="preserve">MAX17048</t>
  </si>
  <si>
    <t xml:space="preserve">https://www.analog.com/en/products/max17048.html</t>
  </si>
  <si>
    <t xml:space="preserve">Bourns PEC06</t>
  </si>
  <si>
    <t xml:space="preserve">https://bourns.com/docs/Product-Datasheets/PEC06.pdf</t>
  </si>
  <si>
    <t xml:space="preserve">LRA 0832 / DRV2605 (Vibro Motor 3 Click)</t>
  </si>
  <si>
    <t xml:space="preserve">https://www.sparkfun.com/mikroe-vibro-motor-3-click.html</t>
  </si>
  <si>
    <t xml:space="preserve">Adafruit 1578 LiPo 500 mAh</t>
  </si>
  <si>
    <t xml:space="preserve">https://www.adafruit.com/product/1578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</si>
</sst>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"/>
    <numFmt numFmtId="166" formatCode="General"/>
    <numFmt numFmtId="167" formatCode="0.0"/>
    <numFmt numFmtId="168" formatCode="0"/>
    <numFmt numFmtId="169" formatCode="0.00\C"/>
    <numFmt numFmtId="170" formatCode="0.000"/>
    <numFmt numFmtId="171" formatCode="0%"/>
    <numFmt numFmtId="172" formatCode="0.000000"/>
    <numFmt numFmtId="173" formatCode="\$#,##0.00"/>
    <numFmt numFmtId="174" formatCode="0.0%"/>
    <numFmt numFmtId="175" formatCode="0.00%"/>
    <numFmt numFmtId="176" formatCode="@"/>
    <numFmt numFmtId="177" formatCode="\+0.0;\-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SUMIFS(BOM!$J$5:$J$44,BOM!$B$5:$B$44,$A5,BOM!$F$5:$F$44,"MVP")</f>
        <v>187.5</v>
      </c>
      <c r="C5" s="5" t="n">
        <f aca="false">SUMIFS(BOM!$J$5:$J$44,BOM!$B$5:$B$44,$A5,BOM!$F$5:$F$44,"S1")</f>
        <v>48</v>
      </c>
      <c r="D5" s="5" t="n">
        <f aca="false">SUMIFS(BOM!$J$5:$J$44,BOM!$B$5:$B$44,$A5,BOM!$F$5:$F$44,"S2")</f>
        <v>35</v>
      </c>
      <c r="E5" s="6" t="n">
        <f aca="false">SUM(B5:D5)</f>
        <v>270.5</v>
      </c>
      <c r="F5" s="7" t="n">
        <f aca="false">Inputs!B4</f>
        <v>2</v>
      </c>
      <c r="G5" s="6" t="n">
        <f aca="false">E5*F5</f>
        <v>541</v>
      </c>
    </row>
    <row r="6" customFormat="false" ht="15" hidden="false" customHeight="false" outlineLevel="0" collapsed="false">
      <c r="A6" s="4" t="s">
        <v>10</v>
      </c>
      <c r="B6" s="5" t="n">
        <f aca="false">SUMIFS(BOM!$J$5:$J$44,BOM!$B$5:$B$44,$A6,BOM!$F$5:$F$44,"MVP")</f>
        <v>107.75</v>
      </c>
      <c r="C6" s="5" t="n">
        <f aca="false">SUMIFS(BOM!$J$5:$J$44,BOM!$B$5:$B$44,$A6,BOM!$F$5:$F$44,"S1")</f>
        <v>35.5</v>
      </c>
      <c r="D6" s="5" t="n">
        <f aca="false">SUMIFS(BOM!$J$5:$J$44,BOM!$B$5:$B$44,$A6,BOM!$F$5:$F$44,"S2")</f>
        <v>23</v>
      </c>
      <c r="E6" s="6" t="n">
        <f aca="false">SUM(B6:D6)</f>
        <v>166.25</v>
      </c>
      <c r="F6" s="7" t="n">
        <f aca="false">Inputs!B3</f>
        <v>3</v>
      </c>
      <c r="G6" s="6" t="n">
        <f aca="false">E6*F6</f>
        <v>498.75</v>
      </c>
    </row>
    <row r="7" customFormat="false" ht="15" hidden="false" customHeight="false" outlineLevel="0" collapsed="false">
      <c r="A7" s="4" t="s">
        <v>11</v>
      </c>
      <c r="B7" s="5" t="n">
        <f aca="false">SUMIFS(BOM!$J$5:$J$44,BOM!$B$5:$B$44,$A7,BOM!$F$5:$F$44,"MVP")</f>
        <v>111</v>
      </c>
      <c r="C7" s="5" t="n">
        <f aca="false">SUMIFS(BOM!$J$5:$J$44,BOM!$B$5:$B$44,$A7,BOM!$F$5:$F$44,"S1")</f>
        <v>130</v>
      </c>
      <c r="D7" s="5" t="n">
        <f aca="false">SUMIFS(BOM!$J$5:$J$44,BOM!$B$5:$B$44,$A7,BOM!$F$5:$F$44,"S2")</f>
        <v>0</v>
      </c>
      <c r="E7" s="6" t="n">
        <f aca="false">SUM(B7:D7)</f>
        <v>241</v>
      </c>
      <c r="F7" s="8" t="n">
        <v>1</v>
      </c>
      <c r="G7" s="6" t="n">
        <f aca="false">E7*F7</f>
        <v>241</v>
      </c>
    </row>
    <row r="8" customFormat="false" ht="15" hidden="false" customHeight="false" outlineLevel="0" collapsed="false">
      <c r="A8" s="9" t="s">
        <v>12</v>
      </c>
      <c r="G8" s="10" t="n">
        <f aca="false">SUM(G5:G7)</f>
        <v>1280.75</v>
      </c>
    </row>
    <row r="9" customFormat="false" ht="15" hidden="false" customHeight="false" outlineLevel="0" collapsed="false">
      <c r="A9" s="11" t="s">
        <v>13</v>
      </c>
      <c r="G9" s="12" t="n">
        <f aca="false">B5*F5+B7</f>
        <v>486</v>
      </c>
    </row>
    <row r="10" customFormat="false" ht="15" hidden="false" customHeight="false" outlineLevel="0" collapsed="false">
      <c r="A10" s="11" t="s">
        <v>14</v>
      </c>
      <c r="G10" s="11" t="str">
        <f aca="false">COUNTIF(BOM!K5:K44,"Estimate")&amp;" of "&amp;COUNTA(BOM!K5:K44)</f>
        <v>34 of 40</v>
      </c>
    </row>
    <row r="12" customFormat="false" ht="15" hidden="false" customHeight="false" outlineLevel="0" collapsed="false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  <c r="F12" s="3"/>
      <c r="G12" s="3" t="s">
        <v>20</v>
      </c>
    </row>
    <row r="13" customFormat="false" ht="15" hidden="false" customHeight="false" outlineLevel="0" collapsed="false">
      <c r="A13" s="4" t="s">
        <v>21</v>
      </c>
      <c r="B13" s="13" t="n">
        <f aca="false">Power!H26</f>
        <v>16.6153736580036</v>
      </c>
      <c r="C13" s="13" t="n">
        <f aca="false">Power!I26</f>
        <v>24.3519253884252</v>
      </c>
      <c r="D13" s="13" t="n">
        <f aca="false">Power!J26</f>
        <v>59.998332435027</v>
      </c>
      <c r="E13" s="13" t="n">
        <f aca="false">Power!H30</f>
        <v>25.98242816048</v>
      </c>
      <c r="F13" s="14"/>
      <c r="G13" s="14"/>
    </row>
    <row r="14" customFormat="false" ht="15" hidden="false" customHeight="false" outlineLevel="0" collapsed="false">
      <c r="A14" s="4" t="s">
        <v>22</v>
      </c>
      <c r="B14" s="13" t="n">
        <f aca="false">Power!H27</f>
        <v>25.5787205721539</v>
      </c>
      <c r="C14" s="13" t="n">
        <f aca="false">Power!I27</f>
        <v>17.4524187808989</v>
      </c>
      <c r="D14" s="13" t="n">
        <f aca="false">Power!J27</f>
        <v>7.08353020411422</v>
      </c>
      <c r="E14" s="15" t="n">
        <f aca="false">Power!H31</f>
        <v>16.3572087017809</v>
      </c>
      <c r="F14" s="14"/>
      <c r="G14" s="7" t="n">
        <f aca="false">Inputs!B10</f>
        <v>8</v>
      </c>
    </row>
    <row r="15" customFormat="false" ht="15" hidden="false" customHeight="false" outlineLevel="0" collapsed="false">
      <c r="A15" s="11" t="s">
        <v>23</v>
      </c>
      <c r="B15" s="16" t="n">
        <f aca="false">Power!K37</f>
        <v>452.992941176471</v>
      </c>
      <c r="C15" s="17" t="n">
        <f aca="false">Power!K38</f>
        <v>0.905985882352941</v>
      </c>
    </row>
    <row r="16" customFormat="false" ht="15" hidden="false" customHeight="false" outlineLevel="0" collapsed="false">
      <c r="A16" s="11" t="s">
        <v>24</v>
      </c>
      <c r="B16" s="18" t="n">
        <f aca="false">Inputs!B25</f>
        <v>0.205824</v>
      </c>
      <c r="C16" s="19" t="str">
        <f aca="false">Inputs!B27</f>
        <v>OK</v>
      </c>
    </row>
    <row r="18" customFormat="false" ht="15" hidden="false" customHeight="false" outlineLevel="0" collapsed="false">
      <c r="A18" s="9" t="s">
        <v>25</v>
      </c>
    </row>
    <row r="19" customFormat="false" ht="15" hidden="false" customHeight="false" outlineLevel="0" collapsed="false">
      <c r="A19" s="20" t="s">
        <v>26</v>
      </c>
    </row>
    <row r="20" customFormat="false" ht="15" hidden="false" customHeight="false" outlineLevel="0" collapsed="false">
      <c r="A20" s="20" t="s">
        <v>27</v>
      </c>
    </row>
    <row r="21" customFormat="false" ht="15" hidden="false" customHeight="false" outlineLevel="0" collapsed="false">
      <c r="A21" s="20" t="s">
        <v>28</v>
      </c>
    </row>
    <row r="22" customFormat="false" ht="15" hidden="false" customHeight="false" outlineLevel="0" collapsed="false">
      <c r="A22" s="20" t="s">
        <v>29</v>
      </c>
    </row>
    <row r="23" customFormat="false" ht="15" hidden="false" customHeight="false" outlineLevel="0" collapsed="false">
      <c r="A23" s="20" t="s">
        <v>30</v>
      </c>
    </row>
    <row r="24" customFormat="false" ht="15" hidden="false" customHeight="false" outlineLevel="0" collapsed="false">
      <c r="A24" s="20" t="s">
        <v>31</v>
      </c>
    </row>
    <row r="25" customFormat="false" ht="15" hidden="false" customHeight="false" outlineLevel="0" collapsed="false">
      <c r="A25" s="2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21" t="s">
        <v>35</v>
      </c>
      <c r="B3" s="22" t="n">
        <v>3</v>
      </c>
      <c r="C3" s="23" t="s">
        <v>36</v>
      </c>
    </row>
    <row r="4" customFormat="false" ht="15" hidden="false" customHeight="false" outlineLevel="0" collapsed="false">
      <c r="A4" s="21" t="s">
        <v>37</v>
      </c>
      <c r="B4" s="22" t="n">
        <v>2</v>
      </c>
      <c r="C4" s="23" t="s">
        <v>38</v>
      </c>
    </row>
    <row r="5" customFormat="false" ht="15" hidden="false" customHeight="false" outlineLevel="0" collapsed="false">
      <c r="A5" s="21" t="s">
        <v>39</v>
      </c>
      <c r="B5" s="24" t="n">
        <v>500</v>
      </c>
      <c r="C5" s="23" t="s">
        <v>40</v>
      </c>
    </row>
    <row r="6" customFormat="false" ht="15" hidden="false" customHeight="false" outlineLevel="0" collapsed="false">
      <c r="A6" s="21" t="s">
        <v>41</v>
      </c>
      <c r="B6" s="25" t="n">
        <v>0.85</v>
      </c>
      <c r="C6" s="23" t="s">
        <v>42</v>
      </c>
    </row>
    <row r="7" customFormat="false" ht="15" hidden="false" customHeight="false" outlineLevel="0" collapsed="false">
      <c r="A7" s="21" t="s">
        <v>43</v>
      </c>
      <c r="B7" s="22" t="n">
        <v>3.7</v>
      </c>
      <c r="C7" s="23"/>
    </row>
    <row r="8" customFormat="false" ht="15" hidden="false" customHeight="false" outlineLevel="0" collapsed="false">
      <c r="A8" s="21" t="s">
        <v>44</v>
      </c>
      <c r="B8" s="22" t="n">
        <v>3.3</v>
      </c>
      <c r="C8" s="23" t="s">
        <v>45</v>
      </c>
    </row>
    <row r="9" customFormat="false" ht="15" hidden="false" customHeight="false" outlineLevel="0" collapsed="false">
      <c r="A9" s="21" t="s">
        <v>46</v>
      </c>
      <c r="B9" s="25" t="n">
        <v>0.9</v>
      </c>
      <c r="C9" s="23" t="s">
        <v>47</v>
      </c>
    </row>
    <row r="10" customFormat="false" ht="15" hidden="false" customHeight="false" outlineLevel="0" collapsed="false">
      <c r="A10" s="21" t="s">
        <v>48</v>
      </c>
      <c r="B10" s="22" t="n">
        <v>8</v>
      </c>
      <c r="C10" s="23" t="s">
        <v>49</v>
      </c>
    </row>
    <row r="11" customFormat="false" ht="15" hidden="false" customHeight="false" outlineLevel="0" collapsed="false">
      <c r="A11" s="21" t="s">
        <v>50</v>
      </c>
      <c r="B11" s="22" t="n">
        <v>3</v>
      </c>
      <c r="C11" s="23" t="s">
        <v>51</v>
      </c>
    </row>
    <row r="12" customFormat="false" ht="15" hidden="false" customHeight="false" outlineLevel="0" collapsed="false">
      <c r="A12" s="21" t="s">
        <v>52</v>
      </c>
      <c r="B12" s="26" t="n">
        <v>0.85</v>
      </c>
      <c r="C12" s="23"/>
    </row>
    <row r="13" customFormat="false" ht="15" hidden="false" customHeight="false" outlineLevel="0" collapsed="false">
      <c r="A13" s="21" t="s">
        <v>53</v>
      </c>
      <c r="B13" s="24" t="n">
        <v>2</v>
      </c>
      <c r="C13" s="23" t="s">
        <v>54</v>
      </c>
    </row>
    <row r="15" customFormat="false" ht="15" hidden="false" customHeight="false" outlineLevel="0" collapsed="false">
      <c r="A15" s="9" t="s">
        <v>55</v>
      </c>
    </row>
    <row r="16" customFormat="false" ht="15" hidden="false" customHeight="false" outlineLevel="0" collapsed="false">
      <c r="A16" s="21" t="s">
        <v>56</v>
      </c>
      <c r="B16" s="22" t="n">
        <v>9</v>
      </c>
      <c r="C16" s="23" t="s">
        <v>57</v>
      </c>
    </row>
    <row r="17" customFormat="false" ht="15" hidden="false" customHeight="false" outlineLevel="0" collapsed="false">
      <c r="A17" s="21" t="s">
        <v>58</v>
      </c>
      <c r="B17" s="22" t="n">
        <v>125000</v>
      </c>
      <c r="C17" s="23"/>
    </row>
    <row r="18" customFormat="false" ht="15" hidden="false" customHeight="false" outlineLevel="0" collapsed="false">
      <c r="A18" s="21" t="s">
        <v>59</v>
      </c>
      <c r="B18" s="22" t="n">
        <v>1</v>
      </c>
      <c r="C18" s="23"/>
    </row>
    <row r="19" customFormat="false" ht="15" hidden="false" customHeight="false" outlineLevel="0" collapsed="false">
      <c r="A19" s="21" t="s">
        <v>60</v>
      </c>
      <c r="B19" s="22" t="n">
        <v>8</v>
      </c>
      <c r="C19" s="23"/>
    </row>
    <row r="20" customFormat="false" ht="15" hidden="false" customHeight="false" outlineLevel="0" collapsed="false">
      <c r="A20" s="21" t="s">
        <v>61</v>
      </c>
      <c r="B20" s="22" t="n">
        <v>24</v>
      </c>
      <c r="C20" s="23" t="s">
        <v>62</v>
      </c>
    </row>
    <row r="21" customFormat="false" ht="15" hidden="false" customHeight="false" outlineLevel="0" collapsed="false">
      <c r="A21" s="21" t="s">
        <v>63</v>
      </c>
      <c r="B21" s="22" t="n">
        <v>1</v>
      </c>
      <c r="C21" s="23"/>
    </row>
    <row r="22" customFormat="false" ht="15" hidden="false" customHeight="false" outlineLevel="0" collapsed="false">
      <c r="A22" s="21" t="s">
        <v>64</v>
      </c>
      <c r="B22" s="22" t="n">
        <v>0</v>
      </c>
      <c r="C22" s="23"/>
    </row>
    <row r="23" customFormat="false" ht="15" hidden="false" customHeight="false" outlineLevel="0" collapsed="false">
      <c r="A23" s="21" t="s">
        <v>65</v>
      </c>
      <c r="B23" s="21" t="n">
        <f aca="false">IF(AND(B16&gt;=11,B17&lt;=125000),1,0)</f>
        <v>0</v>
      </c>
      <c r="C23" s="23" t="s">
        <v>66</v>
      </c>
    </row>
    <row r="24" customFormat="false" ht="15" hidden="false" customHeight="false" outlineLevel="0" collapsed="false">
      <c r="A24" s="21" t="s">
        <v>67</v>
      </c>
      <c r="B24" s="27" t="n">
        <f aca="false">2^B16/B17</f>
        <v>0.004096</v>
      </c>
      <c r="C24" s="23"/>
    </row>
    <row r="25" customFormat="false" ht="15" hidden="false" customHeight="false" outlineLevel="0" collapsed="false">
      <c r="A25" s="21" t="s">
        <v>68</v>
      </c>
      <c r="B25" s="28" t="n">
        <f aca="false">(B19+4.25)*B24+(8+MAX(CEILING((8*B20-4*B16+28+16*B21-20*B22)/(4*(B16-2*B23)),1)*(B18+4),0))*B24</f>
        <v>0.205824</v>
      </c>
      <c r="C25" s="23"/>
    </row>
    <row r="26" customFormat="false" ht="15" hidden="false" customHeight="false" outlineLevel="0" collapsed="false">
      <c r="A26" s="21" t="s">
        <v>69</v>
      </c>
      <c r="B26" s="22" t="n">
        <v>0.4</v>
      </c>
      <c r="C26" s="23" t="s">
        <v>70</v>
      </c>
    </row>
    <row r="27" customFormat="false" ht="15" hidden="false" customHeight="false" outlineLevel="0" collapsed="false">
      <c r="A27" s="21" t="s">
        <v>71</v>
      </c>
      <c r="B27" s="21" t="str">
        <f aca="false">IF(B25&lt;=B26,"OK","EXCEEDS - lower SF or payload")</f>
        <v>OK</v>
      </c>
      <c r="C27" s="23"/>
    </row>
    <row r="28" customFormat="false" ht="15" hidden="false" customHeight="false" outlineLevel="0" collapsed="false">
      <c r="A28" s="21" t="s">
        <v>72</v>
      </c>
      <c r="B28" s="24" t="n">
        <v>0</v>
      </c>
      <c r="C28" s="23" t="s">
        <v>73</v>
      </c>
    </row>
    <row r="29" customFormat="false" ht="15" hidden="false" customHeight="false" outlineLevel="0" collapsed="false">
      <c r="A29" s="21" t="s">
        <v>74</v>
      </c>
      <c r="B29" s="22" t="n">
        <v>3</v>
      </c>
      <c r="C29" s="23"/>
    </row>
    <row r="30" customFormat="false" ht="15" hidden="false" customHeight="false" outlineLevel="0" collapsed="false">
      <c r="A30" s="21" t="s">
        <v>75</v>
      </c>
      <c r="B30" s="22" t="n">
        <v>0.05</v>
      </c>
      <c r="C30" s="2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7" min="7" style="0" width="26"/>
    <col collapsed="false" customWidth="true" hidden="false" outlineLevel="0" max="8" min="8" style="0" width="5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6.85" hidden="false" customHeight="false" outlineLevel="0" collapsed="false">
      <c r="A4" s="3" t="s">
        <v>79</v>
      </c>
      <c r="B4" s="3" t="s">
        <v>2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86</v>
      </c>
      <c r="J4" s="3" t="s">
        <v>87</v>
      </c>
      <c r="K4" s="3" t="s">
        <v>88</v>
      </c>
      <c r="L4" s="3" t="s">
        <v>89</v>
      </c>
    </row>
    <row r="5" customFormat="false" ht="26.85" hidden="false" customHeight="false" outlineLevel="0" collapsed="false">
      <c r="A5" s="29" t="n">
        <v>1</v>
      </c>
      <c r="B5" s="29" t="s">
        <v>9</v>
      </c>
      <c r="C5" s="29" t="s">
        <v>90</v>
      </c>
      <c r="D5" s="29" t="s">
        <v>91</v>
      </c>
      <c r="E5" s="29" t="s">
        <v>91</v>
      </c>
      <c r="F5" s="29" t="s">
        <v>92</v>
      </c>
      <c r="G5" s="29" t="s">
        <v>93</v>
      </c>
      <c r="H5" s="30" t="n">
        <v>1</v>
      </c>
      <c r="I5" s="31" t="n">
        <v>30</v>
      </c>
      <c r="J5" s="32" t="n">
        <f aca="false">H5*I5</f>
        <v>30</v>
      </c>
      <c r="K5" s="33" t="s">
        <v>94</v>
      </c>
      <c r="L5" s="29" t="s">
        <v>95</v>
      </c>
    </row>
    <row r="6" customFormat="false" ht="26.85" hidden="false" customHeight="false" outlineLevel="0" collapsed="false">
      <c r="A6" s="29" t="n">
        <v>2</v>
      </c>
      <c r="B6" s="29" t="s">
        <v>9</v>
      </c>
      <c r="C6" s="29" t="s">
        <v>96</v>
      </c>
      <c r="D6" s="29" t="s">
        <v>97</v>
      </c>
      <c r="E6" s="29" t="s">
        <v>98</v>
      </c>
      <c r="F6" s="29" t="s">
        <v>92</v>
      </c>
      <c r="G6" s="29" t="s">
        <v>99</v>
      </c>
      <c r="H6" s="30" t="n">
        <v>1</v>
      </c>
      <c r="I6" s="31" t="n">
        <v>45</v>
      </c>
      <c r="J6" s="32" t="n">
        <f aca="false">H6*I6</f>
        <v>45</v>
      </c>
      <c r="K6" s="33" t="s">
        <v>94</v>
      </c>
      <c r="L6" s="29" t="s">
        <v>100</v>
      </c>
    </row>
    <row r="7" customFormat="false" ht="26.85" hidden="false" customHeight="false" outlineLevel="0" collapsed="false">
      <c r="A7" s="29" t="n">
        <v>3</v>
      </c>
      <c r="B7" s="29" t="s">
        <v>9</v>
      </c>
      <c r="C7" s="29" t="s">
        <v>101</v>
      </c>
      <c r="D7" s="29" t="s">
        <v>102</v>
      </c>
      <c r="E7" s="29" t="s">
        <v>103</v>
      </c>
      <c r="F7" s="29" t="s">
        <v>92</v>
      </c>
      <c r="G7" s="29" t="s">
        <v>104</v>
      </c>
      <c r="H7" s="30" t="n">
        <v>1</v>
      </c>
      <c r="I7" s="31" t="n">
        <v>20</v>
      </c>
      <c r="J7" s="32" t="n">
        <f aca="false">H7*I7</f>
        <v>20</v>
      </c>
      <c r="K7" s="33" t="s">
        <v>94</v>
      </c>
      <c r="L7" s="29" t="s">
        <v>105</v>
      </c>
    </row>
    <row r="8" customFormat="false" ht="15" hidden="false" customHeight="false" outlineLevel="0" collapsed="false">
      <c r="A8" s="29" t="n">
        <v>4</v>
      </c>
      <c r="B8" s="29" t="s">
        <v>9</v>
      </c>
      <c r="C8" s="29" t="s">
        <v>106</v>
      </c>
      <c r="D8" s="29" t="s">
        <v>107</v>
      </c>
      <c r="E8" s="29" t="s">
        <v>108</v>
      </c>
      <c r="F8" s="29" t="s">
        <v>92</v>
      </c>
      <c r="G8" s="29" t="s">
        <v>109</v>
      </c>
      <c r="H8" s="30" t="n">
        <v>1</v>
      </c>
      <c r="I8" s="31" t="n">
        <v>35</v>
      </c>
      <c r="J8" s="32" t="n">
        <f aca="false">H8*I8</f>
        <v>35</v>
      </c>
      <c r="K8" s="29" t="s">
        <v>110</v>
      </c>
      <c r="L8" s="29" t="s">
        <v>111</v>
      </c>
    </row>
    <row r="9" customFormat="false" ht="52.2" hidden="false" customHeight="false" outlineLevel="0" collapsed="false">
      <c r="A9" s="29" t="n">
        <v>5</v>
      </c>
      <c r="B9" s="29" t="s">
        <v>9</v>
      </c>
      <c r="C9" s="29" t="s">
        <v>112</v>
      </c>
      <c r="D9" s="29" t="s">
        <v>113</v>
      </c>
      <c r="E9" s="29" t="s">
        <v>114</v>
      </c>
      <c r="F9" s="29" t="s">
        <v>92</v>
      </c>
      <c r="G9" s="29" t="s">
        <v>115</v>
      </c>
      <c r="H9" s="30" t="n">
        <v>1</v>
      </c>
      <c r="I9" s="31" t="n">
        <v>29.5</v>
      </c>
      <c r="J9" s="32" t="n">
        <f aca="false">H9*I9</f>
        <v>29.5</v>
      </c>
      <c r="K9" s="29" t="s">
        <v>110</v>
      </c>
      <c r="L9" s="29" t="s">
        <v>116</v>
      </c>
    </row>
    <row r="10" customFormat="false" ht="15" hidden="false" customHeight="false" outlineLevel="0" collapsed="false">
      <c r="A10" s="29" t="n">
        <v>6</v>
      </c>
      <c r="B10" s="29" t="s">
        <v>9</v>
      </c>
      <c r="C10" s="29" t="s">
        <v>117</v>
      </c>
      <c r="D10" s="29" t="s">
        <v>118</v>
      </c>
      <c r="E10" s="29" t="s">
        <v>119</v>
      </c>
      <c r="F10" s="29" t="s">
        <v>92</v>
      </c>
      <c r="G10" s="29" t="s">
        <v>120</v>
      </c>
      <c r="H10" s="30" t="n">
        <v>1</v>
      </c>
      <c r="I10" s="31" t="n">
        <v>10</v>
      </c>
      <c r="J10" s="32" t="n">
        <f aca="false">H10*I10</f>
        <v>10</v>
      </c>
      <c r="K10" s="33" t="s">
        <v>94</v>
      </c>
      <c r="L10" s="29" t="s">
        <v>121</v>
      </c>
    </row>
    <row r="11" customFormat="false" ht="15" hidden="false" customHeight="false" outlineLevel="0" collapsed="false">
      <c r="A11" s="29" t="n">
        <v>7</v>
      </c>
      <c r="B11" s="29" t="s">
        <v>9</v>
      </c>
      <c r="C11" s="29" t="s">
        <v>122</v>
      </c>
      <c r="D11" s="29" t="s">
        <v>123</v>
      </c>
      <c r="E11" s="29" t="s">
        <v>124</v>
      </c>
      <c r="F11" s="29" t="s">
        <v>92</v>
      </c>
      <c r="G11" s="29" t="s">
        <v>125</v>
      </c>
      <c r="H11" s="30" t="n">
        <v>1</v>
      </c>
      <c r="I11" s="31" t="n">
        <v>3</v>
      </c>
      <c r="J11" s="32" t="n">
        <f aca="false">H11*I11</f>
        <v>3</v>
      </c>
      <c r="K11" s="33" t="s">
        <v>94</v>
      </c>
      <c r="L11" s="29"/>
    </row>
    <row r="12" customFormat="false" ht="15" hidden="false" customHeight="false" outlineLevel="0" collapsed="false">
      <c r="A12" s="29" t="n">
        <v>8</v>
      </c>
      <c r="B12" s="29" t="s">
        <v>9</v>
      </c>
      <c r="C12" s="29" t="s">
        <v>126</v>
      </c>
      <c r="D12" s="29" t="s">
        <v>127</v>
      </c>
      <c r="E12" s="29" t="s">
        <v>128</v>
      </c>
      <c r="F12" s="29" t="s">
        <v>92</v>
      </c>
      <c r="G12" s="29" t="s">
        <v>129</v>
      </c>
      <c r="H12" s="30" t="n">
        <v>1</v>
      </c>
      <c r="I12" s="31" t="n">
        <v>15</v>
      </c>
      <c r="J12" s="32" t="n">
        <f aca="false">H12*I12</f>
        <v>15</v>
      </c>
      <c r="K12" s="33" t="s">
        <v>94</v>
      </c>
      <c r="L12" s="29" t="s">
        <v>130</v>
      </c>
    </row>
    <row r="13" customFormat="false" ht="26.85" hidden="false" customHeight="false" outlineLevel="0" collapsed="false">
      <c r="A13" s="29" t="n">
        <v>9</v>
      </c>
      <c r="B13" s="29" t="s">
        <v>9</v>
      </c>
      <c r="C13" s="29" t="s">
        <v>117</v>
      </c>
      <c r="D13" s="29" t="s">
        <v>131</v>
      </c>
      <c r="E13" s="29" t="s">
        <v>132</v>
      </c>
      <c r="F13" s="29" t="s">
        <v>133</v>
      </c>
      <c r="G13" s="29" t="s">
        <v>134</v>
      </c>
      <c r="H13" s="30" t="n">
        <v>1</v>
      </c>
      <c r="I13" s="31" t="n">
        <v>25</v>
      </c>
      <c r="J13" s="32" t="n">
        <f aca="false">H13*I13</f>
        <v>25</v>
      </c>
      <c r="K13" s="33" t="s">
        <v>94</v>
      </c>
      <c r="L13" s="29" t="s">
        <v>135</v>
      </c>
    </row>
    <row r="14" customFormat="false" ht="26.85" hidden="false" customHeight="false" outlineLevel="0" collapsed="false">
      <c r="A14" s="29" t="n">
        <v>10</v>
      </c>
      <c r="B14" s="29" t="s">
        <v>9</v>
      </c>
      <c r="C14" s="29" t="s">
        <v>122</v>
      </c>
      <c r="D14" s="29" t="s">
        <v>136</v>
      </c>
      <c r="E14" s="29" t="s">
        <v>137</v>
      </c>
      <c r="F14" s="29" t="s">
        <v>133</v>
      </c>
      <c r="G14" s="29" t="s">
        <v>138</v>
      </c>
      <c r="H14" s="30" t="n">
        <v>1</v>
      </c>
      <c r="I14" s="31" t="n">
        <v>13</v>
      </c>
      <c r="J14" s="32" t="n">
        <f aca="false">H14*I14</f>
        <v>13</v>
      </c>
      <c r="K14" s="33" t="s">
        <v>94</v>
      </c>
      <c r="L14" s="29" t="s">
        <v>139</v>
      </c>
    </row>
    <row r="15" customFormat="false" ht="26.85" hidden="false" customHeight="false" outlineLevel="0" collapsed="false">
      <c r="A15" s="29" t="n">
        <v>11</v>
      </c>
      <c r="B15" s="29" t="s">
        <v>9</v>
      </c>
      <c r="C15" s="29" t="s">
        <v>140</v>
      </c>
      <c r="D15" s="29" t="s">
        <v>141</v>
      </c>
      <c r="E15" s="29" t="s">
        <v>142</v>
      </c>
      <c r="F15" s="29" t="s">
        <v>133</v>
      </c>
      <c r="G15" s="29" t="s">
        <v>143</v>
      </c>
      <c r="H15" s="30" t="n">
        <v>1</v>
      </c>
      <c r="I15" s="31" t="n">
        <v>4</v>
      </c>
      <c r="J15" s="32" t="n">
        <f aca="false">H15*I15</f>
        <v>4</v>
      </c>
      <c r="K15" s="33" t="s">
        <v>94</v>
      </c>
      <c r="L15" s="29" t="s">
        <v>144</v>
      </c>
    </row>
    <row r="16" customFormat="false" ht="15" hidden="false" customHeight="false" outlineLevel="0" collapsed="false">
      <c r="A16" s="29" t="n">
        <v>12</v>
      </c>
      <c r="B16" s="29" t="s">
        <v>9</v>
      </c>
      <c r="C16" s="29" t="s">
        <v>126</v>
      </c>
      <c r="D16" s="29" t="s">
        <v>145</v>
      </c>
      <c r="E16" s="29" t="s">
        <v>146</v>
      </c>
      <c r="F16" s="29" t="s">
        <v>133</v>
      </c>
      <c r="G16" s="29" t="s">
        <v>147</v>
      </c>
      <c r="H16" s="30" t="n">
        <v>1</v>
      </c>
      <c r="I16" s="31" t="n">
        <v>6</v>
      </c>
      <c r="J16" s="32" t="n">
        <f aca="false">H16*I16</f>
        <v>6</v>
      </c>
      <c r="K16" s="33" t="s">
        <v>94</v>
      </c>
      <c r="L16" s="29"/>
    </row>
    <row r="17" customFormat="false" ht="26.85" hidden="false" customHeight="false" outlineLevel="0" collapsed="false">
      <c r="A17" s="29" t="n">
        <v>13</v>
      </c>
      <c r="B17" s="29" t="s">
        <v>9</v>
      </c>
      <c r="C17" s="29" t="s">
        <v>148</v>
      </c>
      <c r="D17" s="29" t="s">
        <v>149</v>
      </c>
      <c r="E17" s="29" t="s">
        <v>150</v>
      </c>
      <c r="F17" s="29" t="s">
        <v>151</v>
      </c>
      <c r="G17" s="29" t="s">
        <v>152</v>
      </c>
      <c r="H17" s="30" t="n">
        <v>1</v>
      </c>
      <c r="I17" s="31" t="n">
        <v>35</v>
      </c>
      <c r="J17" s="32" t="n">
        <f aca="false">H17*I17</f>
        <v>35</v>
      </c>
      <c r="K17" s="33" t="s">
        <v>94</v>
      </c>
      <c r="L17" s="29" t="s">
        <v>153</v>
      </c>
    </row>
    <row r="18" customFormat="false" ht="26.85" hidden="false" customHeight="false" outlineLevel="0" collapsed="false">
      <c r="A18" s="29" t="n">
        <v>14</v>
      </c>
      <c r="B18" s="29" t="s">
        <v>10</v>
      </c>
      <c r="C18" s="29" t="s">
        <v>90</v>
      </c>
      <c r="D18" s="29" t="s">
        <v>154</v>
      </c>
      <c r="E18" s="29" t="s">
        <v>155</v>
      </c>
      <c r="F18" s="29" t="s">
        <v>92</v>
      </c>
      <c r="G18" s="29" t="s">
        <v>156</v>
      </c>
      <c r="H18" s="30" t="n">
        <v>1</v>
      </c>
      <c r="I18" s="31" t="n">
        <v>16</v>
      </c>
      <c r="J18" s="32" t="n">
        <f aca="false">H18*I18</f>
        <v>16</v>
      </c>
      <c r="K18" s="33" t="s">
        <v>94</v>
      </c>
      <c r="L18" s="29" t="s">
        <v>157</v>
      </c>
    </row>
    <row r="19" customFormat="false" ht="26.85" hidden="false" customHeight="false" outlineLevel="0" collapsed="false">
      <c r="A19" s="29" t="n">
        <v>15</v>
      </c>
      <c r="B19" s="29" t="s">
        <v>10</v>
      </c>
      <c r="C19" s="29" t="s">
        <v>90</v>
      </c>
      <c r="D19" s="29" t="s">
        <v>158</v>
      </c>
      <c r="E19" s="29" t="s">
        <v>156</v>
      </c>
      <c r="F19" s="29" t="s">
        <v>92</v>
      </c>
      <c r="G19" s="29" t="s">
        <v>156</v>
      </c>
      <c r="H19" s="30" t="n">
        <v>1</v>
      </c>
      <c r="I19" s="31" t="n">
        <v>1.5</v>
      </c>
      <c r="J19" s="32" t="n">
        <f aca="false">H19*I19</f>
        <v>1.5</v>
      </c>
      <c r="K19" s="33" t="s">
        <v>94</v>
      </c>
      <c r="L19" s="29" t="s">
        <v>159</v>
      </c>
    </row>
    <row r="20" customFormat="false" ht="26.85" hidden="false" customHeight="false" outlineLevel="0" collapsed="false">
      <c r="A20" s="29" t="n">
        <v>16</v>
      </c>
      <c r="B20" s="29" t="s">
        <v>10</v>
      </c>
      <c r="C20" s="29" t="s">
        <v>96</v>
      </c>
      <c r="D20" s="29" t="s">
        <v>160</v>
      </c>
      <c r="E20" s="29" t="s">
        <v>161</v>
      </c>
      <c r="F20" s="29" t="s">
        <v>92</v>
      </c>
      <c r="G20" s="29" t="s">
        <v>162</v>
      </c>
      <c r="H20" s="30" t="n">
        <v>1</v>
      </c>
      <c r="I20" s="31" t="n">
        <v>17</v>
      </c>
      <c r="J20" s="32" t="n">
        <f aca="false">H20*I20</f>
        <v>17</v>
      </c>
      <c r="K20" s="33" t="s">
        <v>94</v>
      </c>
      <c r="L20" s="29" t="s">
        <v>163</v>
      </c>
    </row>
    <row r="21" customFormat="false" ht="26.85" hidden="false" customHeight="false" outlineLevel="0" collapsed="false">
      <c r="A21" s="29" t="n">
        <v>17</v>
      </c>
      <c r="B21" s="29" t="s">
        <v>10</v>
      </c>
      <c r="C21" s="29" t="s">
        <v>96</v>
      </c>
      <c r="D21" s="29" t="s">
        <v>164</v>
      </c>
      <c r="E21" s="29" t="s">
        <v>156</v>
      </c>
      <c r="F21" s="29" t="s">
        <v>92</v>
      </c>
      <c r="G21" s="29" t="s">
        <v>165</v>
      </c>
      <c r="H21" s="30" t="n">
        <v>1</v>
      </c>
      <c r="I21" s="31" t="n">
        <v>2</v>
      </c>
      <c r="J21" s="32" t="n">
        <f aca="false">H21*I21</f>
        <v>2</v>
      </c>
      <c r="K21" s="33" t="s">
        <v>94</v>
      </c>
      <c r="L21" s="29" t="s">
        <v>166</v>
      </c>
    </row>
    <row r="22" customFormat="false" ht="26.85" hidden="false" customHeight="false" outlineLevel="0" collapsed="false">
      <c r="A22" s="29" t="n">
        <v>18</v>
      </c>
      <c r="B22" s="29" t="s">
        <v>10</v>
      </c>
      <c r="C22" s="29" t="s">
        <v>101</v>
      </c>
      <c r="D22" s="29" t="s">
        <v>167</v>
      </c>
      <c r="E22" s="29" t="s">
        <v>168</v>
      </c>
      <c r="F22" s="29" t="s">
        <v>92</v>
      </c>
      <c r="G22" s="29" t="s">
        <v>169</v>
      </c>
      <c r="H22" s="30" t="n">
        <v>1</v>
      </c>
      <c r="I22" s="31" t="n">
        <v>8</v>
      </c>
      <c r="J22" s="32" t="n">
        <f aca="false">H22*I22</f>
        <v>8</v>
      </c>
      <c r="K22" s="33" t="s">
        <v>94</v>
      </c>
      <c r="L22" s="29" t="s">
        <v>170</v>
      </c>
    </row>
    <row r="23" customFormat="false" ht="26.85" hidden="false" customHeight="false" outlineLevel="0" collapsed="false">
      <c r="A23" s="29" t="n">
        <v>19</v>
      </c>
      <c r="B23" s="29" t="s">
        <v>10</v>
      </c>
      <c r="C23" s="29" t="s">
        <v>101</v>
      </c>
      <c r="D23" s="29" t="s">
        <v>171</v>
      </c>
      <c r="E23" s="29" t="s">
        <v>156</v>
      </c>
      <c r="F23" s="29" t="s">
        <v>92</v>
      </c>
      <c r="G23" s="29" t="s">
        <v>165</v>
      </c>
      <c r="H23" s="30" t="n">
        <v>1</v>
      </c>
      <c r="I23" s="31" t="n">
        <v>3</v>
      </c>
      <c r="J23" s="32" t="n">
        <f aca="false">H23*I23</f>
        <v>3</v>
      </c>
      <c r="K23" s="33" t="s">
        <v>94</v>
      </c>
      <c r="L23" s="29"/>
    </row>
    <row r="24" customFormat="false" ht="26.85" hidden="false" customHeight="false" outlineLevel="0" collapsed="false">
      <c r="A24" s="29" t="n">
        <v>20</v>
      </c>
      <c r="B24" s="29" t="s">
        <v>10</v>
      </c>
      <c r="C24" s="29" t="s">
        <v>106</v>
      </c>
      <c r="D24" s="29" t="s">
        <v>172</v>
      </c>
      <c r="E24" s="29" t="s">
        <v>173</v>
      </c>
      <c r="F24" s="29" t="s">
        <v>92</v>
      </c>
      <c r="G24" s="29" t="s">
        <v>109</v>
      </c>
      <c r="H24" s="30" t="n">
        <v>1</v>
      </c>
      <c r="I24" s="31" t="n">
        <v>10</v>
      </c>
      <c r="J24" s="32" t="n">
        <f aca="false">H24*I24</f>
        <v>10</v>
      </c>
      <c r="K24" s="29" t="s">
        <v>110</v>
      </c>
      <c r="L24" s="29" t="s">
        <v>174</v>
      </c>
    </row>
    <row r="25" customFormat="false" ht="26.85" hidden="false" customHeight="false" outlineLevel="0" collapsed="false">
      <c r="A25" s="29" t="n">
        <v>21</v>
      </c>
      <c r="B25" s="29" t="s">
        <v>10</v>
      </c>
      <c r="C25" s="29" t="s">
        <v>106</v>
      </c>
      <c r="D25" s="29" t="s">
        <v>175</v>
      </c>
      <c r="E25" s="29" t="s">
        <v>176</v>
      </c>
      <c r="F25" s="29" t="s">
        <v>92</v>
      </c>
      <c r="G25" s="29" t="s">
        <v>165</v>
      </c>
      <c r="H25" s="30" t="n">
        <v>1</v>
      </c>
      <c r="I25" s="31" t="n">
        <v>2</v>
      </c>
      <c r="J25" s="32" t="n">
        <f aca="false">H25*I25</f>
        <v>2</v>
      </c>
      <c r="K25" s="33" t="s">
        <v>94</v>
      </c>
      <c r="L25" s="29" t="s">
        <v>177</v>
      </c>
    </row>
    <row r="26" customFormat="false" ht="39.55" hidden="false" customHeight="false" outlineLevel="0" collapsed="false">
      <c r="A26" s="29" t="n">
        <v>22</v>
      </c>
      <c r="B26" s="29" t="s">
        <v>10</v>
      </c>
      <c r="C26" s="29" t="s">
        <v>112</v>
      </c>
      <c r="D26" s="29" t="s">
        <v>178</v>
      </c>
      <c r="E26" s="29" t="s">
        <v>179</v>
      </c>
      <c r="F26" s="29" t="s">
        <v>92</v>
      </c>
      <c r="G26" s="29" t="s">
        <v>180</v>
      </c>
      <c r="H26" s="30" t="n">
        <v>1</v>
      </c>
      <c r="I26" s="31" t="n">
        <v>18</v>
      </c>
      <c r="J26" s="32" t="n">
        <f aca="false">H26*I26</f>
        <v>18</v>
      </c>
      <c r="K26" s="33" t="s">
        <v>94</v>
      </c>
      <c r="L26" s="29" t="s">
        <v>181</v>
      </c>
    </row>
    <row r="27" customFormat="false" ht="26.85" hidden="false" customHeight="false" outlineLevel="0" collapsed="false">
      <c r="A27" s="29" t="n">
        <v>23</v>
      </c>
      <c r="B27" s="29" t="s">
        <v>10</v>
      </c>
      <c r="C27" s="29" t="s">
        <v>126</v>
      </c>
      <c r="D27" s="29" t="s">
        <v>182</v>
      </c>
      <c r="E27" s="29" t="s">
        <v>183</v>
      </c>
      <c r="F27" s="29" t="s">
        <v>92</v>
      </c>
      <c r="G27" s="29" t="s">
        <v>156</v>
      </c>
      <c r="H27" s="30" t="n">
        <v>1</v>
      </c>
      <c r="I27" s="31" t="n">
        <v>2</v>
      </c>
      <c r="J27" s="32" t="n">
        <f aca="false">H27*I27</f>
        <v>2</v>
      </c>
      <c r="K27" s="33" t="s">
        <v>94</v>
      </c>
      <c r="L27" s="29" t="s">
        <v>184</v>
      </c>
    </row>
    <row r="28" customFormat="false" ht="26.85" hidden="false" customHeight="false" outlineLevel="0" collapsed="false">
      <c r="A28" s="29" t="n">
        <v>24</v>
      </c>
      <c r="B28" s="29" t="s">
        <v>10</v>
      </c>
      <c r="C28" s="29" t="s">
        <v>126</v>
      </c>
      <c r="D28" s="29" t="s">
        <v>185</v>
      </c>
      <c r="E28" s="29" t="s">
        <v>186</v>
      </c>
      <c r="F28" s="29" t="s">
        <v>92</v>
      </c>
      <c r="G28" s="29" t="s">
        <v>156</v>
      </c>
      <c r="H28" s="30" t="n">
        <v>1</v>
      </c>
      <c r="I28" s="31" t="n">
        <v>0.3</v>
      </c>
      <c r="J28" s="32" t="n">
        <f aca="false">H28*I28</f>
        <v>0.3</v>
      </c>
      <c r="K28" s="33" t="s">
        <v>94</v>
      </c>
      <c r="L28" s="29" t="s">
        <v>187</v>
      </c>
    </row>
    <row r="29" customFormat="false" ht="39.55" hidden="false" customHeight="false" outlineLevel="0" collapsed="false">
      <c r="A29" s="29" t="n">
        <v>25</v>
      </c>
      <c r="B29" s="29" t="s">
        <v>10</v>
      </c>
      <c r="C29" s="29" t="s">
        <v>188</v>
      </c>
      <c r="D29" s="29" t="s">
        <v>189</v>
      </c>
      <c r="E29" s="29" t="s">
        <v>190</v>
      </c>
      <c r="F29" s="29" t="s">
        <v>92</v>
      </c>
      <c r="G29" s="29" t="s">
        <v>156</v>
      </c>
      <c r="H29" s="30" t="n">
        <v>1</v>
      </c>
      <c r="I29" s="31" t="n">
        <v>7.95</v>
      </c>
      <c r="J29" s="32" t="n">
        <f aca="false">H29*I29</f>
        <v>7.95</v>
      </c>
      <c r="K29" s="29" t="s">
        <v>110</v>
      </c>
      <c r="L29" s="29" t="s">
        <v>191</v>
      </c>
    </row>
    <row r="30" customFormat="false" ht="26.85" hidden="false" customHeight="false" outlineLevel="0" collapsed="false">
      <c r="A30" s="29" t="n">
        <v>26</v>
      </c>
      <c r="B30" s="29" t="s">
        <v>10</v>
      </c>
      <c r="C30" s="29" t="s">
        <v>192</v>
      </c>
      <c r="D30" s="29" t="s">
        <v>193</v>
      </c>
      <c r="E30" s="29" t="s">
        <v>194</v>
      </c>
      <c r="F30" s="29" t="s">
        <v>92</v>
      </c>
      <c r="G30" s="29" t="s">
        <v>156</v>
      </c>
      <c r="H30" s="30" t="n">
        <v>1</v>
      </c>
      <c r="I30" s="31" t="n">
        <v>6</v>
      </c>
      <c r="J30" s="32" t="n">
        <f aca="false">H30*I30</f>
        <v>6</v>
      </c>
      <c r="K30" s="33" t="s">
        <v>94</v>
      </c>
      <c r="L30" s="29" t="s">
        <v>195</v>
      </c>
    </row>
    <row r="31" customFormat="false" ht="26.85" hidden="false" customHeight="false" outlineLevel="0" collapsed="false">
      <c r="A31" s="29" t="n">
        <v>27</v>
      </c>
      <c r="B31" s="29" t="s">
        <v>10</v>
      </c>
      <c r="C31" s="29" t="s">
        <v>196</v>
      </c>
      <c r="D31" s="29" t="s">
        <v>197</v>
      </c>
      <c r="E31" s="29" t="s">
        <v>156</v>
      </c>
      <c r="F31" s="29" t="s">
        <v>92</v>
      </c>
      <c r="G31" s="29" t="s">
        <v>156</v>
      </c>
      <c r="H31" s="30" t="n">
        <v>1</v>
      </c>
      <c r="I31" s="31" t="n">
        <v>8</v>
      </c>
      <c r="J31" s="32" t="n">
        <f aca="false">H31*I31</f>
        <v>8</v>
      </c>
      <c r="K31" s="33" t="s">
        <v>94</v>
      </c>
      <c r="L31" s="29"/>
    </row>
    <row r="32" customFormat="false" ht="26.85" hidden="false" customHeight="false" outlineLevel="0" collapsed="false">
      <c r="A32" s="29" t="n">
        <v>28</v>
      </c>
      <c r="B32" s="29" t="s">
        <v>10</v>
      </c>
      <c r="C32" s="29" t="s">
        <v>198</v>
      </c>
      <c r="D32" s="29" t="s">
        <v>199</v>
      </c>
      <c r="E32" s="29" t="s">
        <v>200</v>
      </c>
      <c r="F32" s="29" t="s">
        <v>92</v>
      </c>
      <c r="G32" s="29" t="s">
        <v>156</v>
      </c>
      <c r="H32" s="30" t="n">
        <v>1</v>
      </c>
      <c r="I32" s="31" t="n">
        <v>6</v>
      </c>
      <c r="J32" s="32" t="n">
        <f aca="false">H32*I32</f>
        <v>6</v>
      </c>
      <c r="K32" s="33" t="s">
        <v>94</v>
      </c>
      <c r="L32" s="29"/>
    </row>
    <row r="33" customFormat="false" ht="26.85" hidden="false" customHeight="false" outlineLevel="0" collapsed="false">
      <c r="A33" s="29" t="n">
        <v>29</v>
      </c>
      <c r="B33" s="29" t="s">
        <v>10</v>
      </c>
      <c r="C33" s="29" t="s">
        <v>117</v>
      </c>
      <c r="D33" s="29" t="s">
        <v>201</v>
      </c>
      <c r="E33" s="29" t="s">
        <v>202</v>
      </c>
      <c r="F33" s="29" t="s">
        <v>133</v>
      </c>
      <c r="G33" s="29" t="s">
        <v>203</v>
      </c>
      <c r="H33" s="30" t="n">
        <v>1</v>
      </c>
      <c r="I33" s="31" t="n">
        <v>20</v>
      </c>
      <c r="J33" s="32" t="n">
        <f aca="false">H33*I33</f>
        <v>20</v>
      </c>
      <c r="K33" s="33" t="s">
        <v>94</v>
      </c>
      <c r="L33" s="29" t="s">
        <v>204</v>
      </c>
    </row>
    <row r="34" customFormat="false" ht="26.85" hidden="false" customHeight="false" outlineLevel="0" collapsed="false">
      <c r="A34" s="29" t="n">
        <v>30</v>
      </c>
      <c r="B34" s="29" t="s">
        <v>10</v>
      </c>
      <c r="C34" s="29" t="s">
        <v>122</v>
      </c>
      <c r="D34" s="29" t="s">
        <v>205</v>
      </c>
      <c r="E34" s="29" t="s">
        <v>206</v>
      </c>
      <c r="F34" s="29" t="s">
        <v>133</v>
      </c>
      <c r="G34" s="29" t="s">
        <v>138</v>
      </c>
      <c r="H34" s="30" t="n">
        <v>1</v>
      </c>
      <c r="I34" s="31" t="n">
        <v>2.5</v>
      </c>
      <c r="J34" s="32" t="n">
        <f aca="false">H34*I34</f>
        <v>2.5</v>
      </c>
      <c r="K34" s="33" t="s">
        <v>94</v>
      </c>
      <c r="L34" s="29"/>
    </row>
    <row r="35" customFormat="false" ht="26.85" hidden="false" customHeight="false" outlineLevel="0" collapsed="false">
      <c r="A35" s="29" t="n">
        <v>31</v>
      </c>
      <c r="B35" s="29" t="s">
        <v>10</v>
      </c>
      <c r="C35" s="29" t="s">
        <v>122</v>
      </c>
      <c r="D35" s="29" t="s">
        <v>207</v>
      </c>
      <c r="E35" s="29" t="s">
        <v>208</v>
      </c>
      <c r="F35" s="29" t="s">
        <v>133</v>
      </c>
      <c r="G35" s="29" t="s">
        <v>156</v>
      </c>
      <c r="H35" s="30" t="n">
        <v>1</v>
      </c>
      <c r="I35" s="31" t="n">
        <v>2</v>
      </c>
      <c r="J35" s="32" t="n">
        <f aca="false">H35*I35</f>
        <v>2</v>
      </c>
      <c r="K35" s="33" t="s">
        <v>94</v>
      </c>
      <c r="L35" s="29"/>
    </row>
    <row r="36" customFormat="false" ht="26.85" hidden="false" customHeight="false" outlineLevel="0" collapsed="false">
      <c r="A36" s="29" t="n">
        <v>32</v>
      </c>
      <c r="B36" s="29" t="s">
        <v>10</v>
      </c>
      <c r="C36" s="29" t="s">
        <v>140</v>
      </c>
      <c r="D36" s="29" t="s">
        <v>209</v>
      </c>
      <c r="E36" s="29" t="s">
        <v>142</v>
      </c>
      <c r="F36" s="29" t="s">
        <v>133</v>
      </c>
      <c r="G36" s="29" t="s">
        <v>210</v>
      </c>
      <c r="H36" s="30" t="n">
        <v>1</v>
      </c>
      <c r="I36" s="31" t="n">
        <v>2.5</v>
      </c>
      <c r="J36" s="32" t="n">
        <f aca="false">H36*I36</f>
        <v>2.5</v>
      </c>
      <c r="K36" s="33" t="s">
        <v>94</v>
      </c>
      <c r="L36" s="29"/>
    </row>
    <row r="37" customFormat="false" ht="26.85" hidden="false" customHeight="false" outlineLevel="0" collapsed="false">
      <c r="A37" s="29" t="n">
        <v>33</v>
      </c>
      <c r="B37" s="29" t="s">
        <v>10</v>
      </c>
      <c r="C37" s="29" t="s">
        <v>126</v>
      </c>
      <c r="D37" s="29" t="s">
        <v>211</v>
      </c>
      <c r="E37" s="29" t="s">
        <v>212</v>
      </c>
      <c r="F37" s="29" t="s">
        <v>133</v>
      </c>
      <c r="G37" s="29" t="s">
        <v>213</v>
      </c>
      <c r="H37" s="30" t="n">
        <v>1</v>
      </c>
      <c r="I37" s="31" t="n">
        <v>1.5</v>
      </c>
      <c r="J37" s="32" t="n">
        <f aca="false">H37*I37</f>
        <v>1.5</v>
      </c>
      <c r="K37" s="33" t="s">
        <v>94</v>
      </c>
      <c r="L37" s="29" t="s">
        <v>214</v>
      </c>
    </row>
    <row r="38" customFormat="false" ht="26.85" hidden="false" customHeight="false" outlineLevel="0" collapsed="false">
      <c r="A38" s="29" t="n">
        <v>34</v>
      </c>
      <c r="B38" s="29" t="s">
        <v>10</v>
      </c>
      <c r="C38" s="29" t="s">
        <v>126</v>
      </c>
      <c r="D38" s="29" t="s">
        <v>215</v>
      </c>
      <c r="E38" s="29" t="s">
        <v>216</v>
      </c>
      <c r="F38" s="29" t="s">
        <v>133</v>
      </c>
      <c r="G38" s="29" t="s">
        <v>147</v>
      </c>
      <c r="H38" s="30" t="n">
        <v>1</v>
      </c>
      <c r="I38" s="31" t="n">
        <v>3</v>
      </c>
      <c r="J38" s="32" t="n">
        <f aca="false">H38*I38</f>
        <v>3</v>
      </c>
      <c r="K38" s="33" t="s">
        <v>94</v>
      </c>
      <c r="L38" s="29" t="s">
        <v>217</v>
      </c>
    </row>
    <row r="39" customFormat="false" ht="26.85" hidden="false" customHeight="false" outlineLevel="0" collapsed="false">
      <c r="A39" s="29" t="n">
        <v>35</v>
      </c>
      <c r="B39" s="29" t="s">
        <v>10</v>
      </c>
      <c r="C39" s="29" t="s">
        <v>126</v>
      </c>
      <c r="D39" s="29" t="s">
        <v>218</v>
      </c>
      <c r="E39" s="29" t="s">
        <v>128</v>
      </c>
      <c r="F39" s="29" t="s">
        <v>133</v>
      </c>
      <c r="G39" s="29" t="s">
        <v>219</v>
      </c>
      <c r="H39" s="30" t="n">
        <v>1</v>
      </c>
      <c r="I39" s="31" t="n">
        <v>4</v>
      </c>
      <c r="J39" s="32" t="n">
        <f aca="false">H39*I39</f>
        <v>4</v>
      </c>
      <c r="K39" s="33" t="s">
        <v>94</v>
      </c>
      <c r="L39" s="29" t="s">
        <v>220</v>
      </c>
    </row>
    <row r="40" customFormat="false" ht="26.85" hidden="false" customHeight="false" outlineLevel="0" collapsed="false">
      <c r="A40" s="29" t="n">
        <v>36</v>
      </c>
      <c r="B40" s="29" t="s">
        <v>10</v>
      </c>
      <c r="C40" s="29" t="s">
        <v>148</v>
      </c>
      <c r="D40" s="29" t="s">
        <v>221</v>
      </c>
      <c r="E40" s="29" t="s">
        <v>222</v>
      </c>
      <c r="F40" s="29" t="s">
        <v>151</v>
      </c>
      <c r="G40" s="29" t="s">
        <v>152</v>
      </c>
      <c r="H40" s="30" t="n">
        <v>1</v>
      </c>
      <c r="I40" s="31" t="n">
        <v>23</v>
      </c>
      <c r="J40" s="32" t="n">
        <f aca="false">H40*I40</f>
        <v>23</v>
      </c>
      <c r="K40" s="29" t="s">
        <v>110</v>
      </c>
      <c r="L40" s="29" t="s">
        <v>223</v>
      </c>
    </row>
    <row r="41" customFormat="false" ht="26.85" hidden="false" customHeight="false" outlineLevel="0" collapsed="false">
      <c r="A41" s="29" t="n">
        <v>37</v>
      </c>
      <c r="B41" s="29" t="s">
        <v>11</v>
      </c>
      <c r="C41" s="29" t="s">
        <v>224</v>
      </c>
      <c r="D41" s="29" t="s">
        <v>225</v>
      </c>
      <c r="E41" s="29" t="s">
        <v>226</v>
      </c>
      <c r="F41" s="29" t="s">
        <v>133</v>
      </c>
      <c r="G41" s="29" t="s">
        <v>156</v>
      </c>
      <c r="H41" s="30" t="n">
        <v>1</v>
      </c>
      <c r="I41" s="31" t="n">
        <v>90</v>
      </c>
      <c r="J41" s="32" t="n">
        <f aca="false">H41*I41</f>
        <v>90</v>
      </c>
      <c r="K41" s="29" t="s">
        <v>110</v>
      </c>
      <c r="L41" s="29" t="s">
        <v>227</v>
      </c>
    </row>
    <row r="42" customFormat="false" ht="15" hidden="false" customHeight="false" outlineLevel="0" collapsed="false">
      <c r="A42" s="29" t="n">
        <v>38</v>
      </c>
      <c r="B42" s="29" t="s">
        <v>11</v>
      </c>
      <c r="C42" s="29" t="s">
        <v>228</v>
      </c>
      <c r="D42" s="29" t="s">
        <v>229</v>
      </c>
      <c r="E42" s="29" t="s">
        <v>229</v>
      </c>
      <c r="F42" s="29" t="s">
        <v>92</v>
      </c>
      <c r="G42" s="29" t="s">
        <v>230</v>
      </c>
      <c r="H42" s="30" t="n">
        <v>1</v>
      </c>
      <c r="I42" s="31" t="n">
        <v>12</v>
      </c>
      <c r="J42" s="32" t="n">
        <f aca="false">H42*I42</f>
        <v>12</v>
      </c>
      <c r="K42" s="33" t="s">
        <v>94</v>
      </c>
      <c r="L42" s="29"/>
    </row>
    <row r="43" customFormat="false" ht="15" hidden="false" customHeight="false" outlineLevel="0" collapsed="false">
      <c r="A43" s="29" t="n">
        <v>39</v>
      </c>
      <c r="B43" s="29" t="s">
        <v>11</v>
      </c>
      <c r="C43" s="29" t="s">
        <v>228</v>
      </c>
      <c r="D43" s="29" t="s">
        <v>231</v>
      </c>
      <c r="E43" s="29" t="s">
        <v>232</v>
      </c>
      <c r="F43" s="29" t="s">
        <v>133</v>
      </c>
      <c r="G43" s="29" t="s">
        <v>230</v>
      </c>
      <c r="H43" s="30" t="n">
        <v>1</v>
      </c>
      <c r="I43" s="31" t="n">
        <v>40</v>
      </c>
      <c r="J43" s="32" t="n">
        <f aca="false">H43*I43</f>
        <v>40</v>
      </c>
      <c r="K43" s="33" t="s">
        <v>94</v>
      </c>
      <c r="L43" s="29" t="s">
        <v>233</v>
      </c>
    </row>
    <row r="44" customFormat="false" ht="26.85" hidden="false" customHeight="false" outlineLevel="0" collapsed="false">
      <c r="A44" s="29" t="n">
        <v>40</v>
      </c>
      <c r="B44" s="29" t="s">
        <v>11</v>
      </c>
      <c r="C44" s="29" t="s">
        <v>234</v>
      </c>
      <c r="D44" s="29" t="s">
        <v>235</v>
      </c>
      <c r="E44" s="29" t="s">
        <v>236</v>
      </c>
      <c r="F44" s="29" t="s">
        <v>92</v>
      </c>
      <c r="G44" s="29" t="s">
        <v>129</v>
      </c>
      <c r="H44" s="30" t="n">
        <v>1</v>
      </c>
      <c r="I44" s="31" t="n">
        <v>99</v>
      </c>
      <c r="J44" s="32" t="n">
        <f aca="false">H44*I44</f>
        <v>99</v>
      </c>
      <c r="K44" s="33" t="s">
        <v>94</v>
      </c>
      <c r="L44" s="29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9"/>
    <col collapsed="false" customWidth="true" hidden="false" outlineLevel="0" max="7" min="5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3" min="13" style="0" width="70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26.85" hidden="false" customHeight="false" outlineLevel="0" collapsed="false">
      <c r="A4" s="9" t="s">
        <v>240</v>
      </c>
      <c r="E4" s="34" t="s">
        <v>241</v>
      </c>
      <c r="F4" s="34" t="s">
        <v>242</v>
      </c>
      <c r="G4" s="34" t="s">
        <v>243</v>
      </c>
    </row>
    <row r="5" customFormat="false" ht="15" hidden="false" customHeight="false" outlineLevel="0" collapsed="false">
      <c r="A5" s="21" t="s">
        <v>244</v>
      </c>
      <c r="E5" s="22" t="n">
        <v>10</v>
      </c>
      <c r="F5" s="22" t="n">
        <v>5</v>
      </c>
      <c r="G5" s="22" t="n">
        <v>2</v>
      </c>
    </row>
    <row r="6" customFormat="false" ht="15" hidden="false" customHeight="false" outlineLevel="0" collapsed="false">
      <c r="A6" s="21" t="s">
        <v>245</v>
      </c>
      <c r="E6" s="22" t="n">
        <v>1</v>
      </c>
      <c r="F6" s="22" t="n">
        <v>1.5</v>
      </c>
      <c r="G6" s="22" t="n">
        <v>1.5</v>
      </c>
    </row>
    <row r="7" customFormat="false" ht="15" hidden="false" customHeight="false" outlineLevel="0" collapsed="false">
      <c r="A7" s="21" t="s">
        <v>246</v>
      </c>
      <c r="E7" s="26" t="n">
        <v>0.25</v>
      </c>
      <c r="F7" s="26" t="n">
        <v>0.65</v>
      </c>
      <c r="G7" s="26" t="n">
        <v>0.1</v>
      </c>
      <c r="H7" s="35" t="n">
        <f aca="false">SUM(E7:G7)</f>
        <v>1</v>
      </c>
      <c r="I7" s="23" t="s">
        <v>247</v>
      </c>
    </row>
    <row r="8" customFormat="false" ht="15" hidden="false" customHeight="false" outlineLevel="0" collapsed="false">
      <c r="A8" s="11" t="s">
        <v>248</v>
      </c>
      <c r="E8" s="36" t="n">
        <f aca="false">MIN(1,Inputs!$B$25/E5*E6)</f>
        <v>0.0205824</v>
      </c>
      <c r="F8" s="36" t="n">
        <f aca="false">MIN(1,Inputs!$B$25/F5*F6)</f>
        <v>0.0617472</v>
      </c>
      <c r="G8" s="36" t="n">
        <f aca="false">MIN(1,Inputs!$B$25/G5*G6)</f>
        <v>0.154368</v>
      </c>
    </row>
    <row r="9" customFormat="false" ht="15" hidden="false" customHeight="false" outlineLevel="0" collapsed="false">
      <c r="A9" s="11" t="s">
        <v>249</v>
      </c>
      <c r="E9" s="36" t="n">
        <f aca="false">IF(Inputs!$B$28=1,MIN(1-E8,Inputs!$B$29*(Inputs!$B$25+Inputs!$B$30)/E5),1-E8)</f>
        <v>0.9794176</v>
      </c>
      <c r="F9" s="36" t="n">
        <f aca="false">IF(Inputs!$B$28=1,MIN(1-F8,Inputs!$B$29*(Inputs!$B$25+Inputs!$B$30)/F5),1-F8)</f>
        <v>0.9382528</v>
      </c>
      <c r="G9" s="36" t="n">
        <f aca="false">IF(Inputs!$B$28=1,MIN(1-G8,Inputs!$B$29*(Inputs!$B$25+Inputs!$B$30)/G5),1-G8)</f>
        <v>0.845632</v>
      </c>
    </row>
    <row r="11" customFormat="false" ht="26.85" hidden="false" customHeight="false" outlineLevel="0" collapsed="false">
      <c r="A11" s="3" t="s">
        <v>250</v>
      </c>
      <c r="B11" s="3" t="s">
        <v>251</v>
      </c>
      <c r="C11" s="3" t="s">
        <v>252</v>
      </c>
      <c r="D11" s="3" t="s">
        <v>253</v>
      </c>
      <c r="E11" s="3" t="s">
        <v>254</v>
      </c>
      <c r="F11" s="3" t="s">
        <v>255</v>
      </c>
      <c r="G11" s="3" t="s">
        <v>256</v>
      </c>
      <c r="H11" s="3" t="s">
        <v>257</v>
      </c>
      <c r="I11" s="3" t="s">
        <v>258</v>
      </c>
      <c r="J11" s="3" t="s">
        <v>259</v>
      </c>
      <c r="K11" s="3" t="s">
        <v>260</v>
      </c>
      <c r="L11" s="3" t="s">
        <v>83</v>
      </c>
      <c r="M11" s="3" t="s">
        <v>261</v>
      </c>
    </row>
    <row r="12" customFormat="false" ht="26.85" hidden="false" customHeight="false" outlineLevel="0" collapsed="false">
      <c r="A12" s="37" t="s">
        <v>262</v>
      </c>
      <c r="B12" s="37" t="s">
        <v>263</v>
      </c>
      <c r="C12" s="30" t="n">
        <v>8</v>
      </c>
      <c r="D12" s="30" t="n">
        <v>0.0175</v>
      </c>
      <c r="E12" s="38" t="n">
        <v>0.03</v>
      </c>
      <c r="F12" s="38" t="n">
        <v>0.1</v>
      </c>
      <c r="G12" s="38" t="n">
        <v>0.4</v>
      </c>
      <c r="H12" s="39" t="n">
        <f aca="false">$C12*E12+$D12*(1-E12)</f>
        <v>0.256975</v>
      </c>
      <c r="I12" s="39" t="n">
        <f aca="false">$C12*F12+$D12*(1-F12)</f>
        <v>0.81575</v>
      </c>
      <c r="J12" s="39" t="n">
        <f aca="false">$C12*G12+$D12*(1-G12)</f>
        <v>3.2105</v>
      </c>
      <c r="K12" s="30" t="n">
        <v>15</v>
      </c>
      <c r="L12" s="37" t="s">
        <v>92</v>
      </c>
      <c r="M12" s="37" t="s">
        <v>264</v>
      </c>
    </row>
    <row r="13" customFormat="false" ht="26.85" hidden="false" customHeight="false" outlineLevel="0" collapsed="false">
      <c r="A13" s="37" t="s">
        <v>265</v>
      </c>
      <c r="B13" s="37" t="s">
        <v>266</v>
      </c>
      <c r="C13" s="30" t="n">
        <v>8</v>
      </c>
      <c r="D13" s="30" t="n">
        <v>0.035</v>
      </c>
      <c r="E13" s="38" t="n">
        <v>1</v>
      </c>
      <c r="F13" s="38" t="n">
        <v>1</v>
      </c>
      <c r="G13" s="38" t="n">
        <v>1</v>
      </c>
      <c r="H13" s="39" t="n">
        <f aca="false">$C13*E13+$D13*(1-E13)</f>
        <v>8</v>
      </c>
      <c r="I13" s="39" t="n">
        <f aca="false">$C13*F13+$D13*(1-F13)</f>
        <v>8</v>
      </c>
      <c r="J13" s="39" t="n">
        <f aca="false">$C13*G13+$D13*(1-G13)</f>
        <v>8</v>
      </c>
      <c r="K13" s="30" t="n">
        <v>25</v>
      </c>
      <c r="L13" s="37" t="s">
        <v>92</v>
      </c>
      <c r="M13" s="37" t="s">
        <v>267</v>
      </c>
    </row>
    <row r="14" customFormat="false" ht="26.85" hidden="false" customHeight="false" outlineLevel="0" collapsed="false">
      <c r="A14" s="37" t="s">
        <v>268</v>
      </c>
      <c r="B14" s="37" t="s">
        <v>269</v>
      </c>
      <c r="C14" s="30" t="n">
        <v>118</v>
      </c>
      <c r="D14" s="30" t="n">
        <v>0</v>
      </c>
      <c r="E14" s="40" t="n">
        <f aca="false">E8</f>
        <v>0.0205824</v>
      </c>
      <c r="F14" s="40" t="n">
        <f aca="false">F8</f>
        <v>0.0617472</v>
      </c>
      <c r="G14" s="40" t="n">
        <f aca="false">G8</f>
        <v>0.154368</v>
      </c>
      <c r="H14" s="39" t="n">
        <f aca="false">$C14*E14+$D14*(1-E14)</f>
        <v>2.4287232</v>
      </c>
      <c r="I14" s="39" t="n">
        <f aca="false">$C14*F14+$D14*(1-F14)</f>
        <v>7.2861696</v>
      </c>
      <c r="J14" s="39" t="n">
        <f aca="false">$C14*G14+$D14*(1-G14)</f>
        <v>18.215424</v>
      </c>
      <c r="K14" s="30" t="n">
        <v>118</v>
      </c>
      <c r="L14" s="37" t="s">
        <v>92</v>
      </c>
      <c r="M14" s="37" t="s">
        <v>270</v>
      </c>
    </row>
    <row r="15" customFormat="false" ht="26.85" hidden="false" customHeight="false" outlineLevel="0" collapsed="false">
      <c r="A15" s="37" t="s">
        <v>271</v>
      </c>
      <c r="B15" s="37" t="s">
        <v>272</v>
      </c>
      <c r="C15" s="30" t="n">
        <v>4.6</v>
      </c>
      <c r="D15" s="30" t="n">
        <v>0.0006</v>
      </c>
      <c r="E15" s="40" t="n">
        <f aca="false">E9</f>
        <v>0.9794176</v>
      </c>
      <c r="F15" s="40" t="n">
        <f aca="false">F9</f>
        <v>0.9382528</v>
      </c>
      <c r="G15" s="40" t="n">
        <f aca="false">G9</f>
        <v>0.845632</v>
      </c>
      <c r="H15" s="39" t="n">
        <f aca="false">$C15*E15+$D15*(1-E15)</f>
        <v>4.50533330944</v>
      </c>
      <c r="I15" s="39" t="n">
        <f aca="false">$C15*F15+$D15*(1-F15)</f>
        <v>4.31599992832</v>
      </c>
      <c r="J15" s="39" t="n">
        <f aca="false">$C15*G15+$D15*(1-G15)</f>
        <v>3.8899998208</v>
      </c>
      <c r="K15" s="30" t="n">
        <v>5</v>
      </c>
      <c r="L15" s="37" t="s">
        <v>92</v>
      </c>
      <c r="M15" s="37" t="s">
        <v>273</v>
      </c>
    </row>
    <row r="16" customFormat="false" ht="26.85" hidden="false" customHeight="false" outlineLevel="0" collapsed="false">
      <c r="A16" s="37" t="s">
        <v>274</v>
      </c>
      <c r="B16" s="37" t="s">
        <v>275</v>
      </c>
      <c r="C16" s="30" t="n">
        <v>50</v>
      </c>
      <c r="D16" s="30" t="n">
        <v>0.0009</v>
      </c>
      <c r="E16" s="38" t="n">
        <v>0</v>
      </c>
      <c r="F16" s="38" t="n">
        <v>0</v>
      </c>
      <c r="G16" s="38" t="n">
        <v>0.03</v>
      </c>
      <c r="H16" s="39" t="n">
        <f aca="false">$C16*E16+$D16*(1-E16)</f>
        <v>0.0009</v>
      </c>
      <c r="I16" s="39" t="n">
        <f aca="false">$C16*F16+$D16*(1-F16)</f>
        <v>0.0009</v>
      </c>
      <c r="J16" s="39" t="n">
        <f aca="false">$C16*G16+$D16*(1-G16)</f>
        <v>1.500873</v>
      </c>
      <c r="K16" s="30" t="n">
        <v>55</v>
      </c>
      <c r="L16" s="37" t="s">
        <v>151</v>
      </c>
      <c r="M16" s="37" t="s">
        <v>276</v>
      </c>
    </row>
    <row r="17" customFormat="false" ht="26.85" hidden="false" customHeight="false" outlineLevel="0" collapsed="false">
      <c r="A17" s="37" t="s">
        <v>277</v>
      </c>
      <c r="B17" s="37" t="s">
        <v>278</v>
      </c>
      <c r="C17" s="30" t="n">
        <v>60</v>
      </c>
      <c r="D17" s="30" t="n">
        <v>0.01</v>
      </c>
      <c r="E17" s="41" t="n">
        <v>0.0005</v>
      </c>
      <c r="F17" s="41" t="n">
        <v>0.0005</v>
      </c>
      <c r="G17" s="41" t="n">
        <v>0.0005</v>
      </c>
      <c r="H17" s="39" t="n">
        <f aca="false">$C17*E17+$D17*(1-E17)</f>
        <v>0.039995</v>
      </c>
      <c r="I17" s="39" t="n">
        <f aca="false">$C17*F17+$D17*(1-F17)</f>
        <v>0.039995</v>
      </c>
      <c r="J17" s="39" t="n">
        <f aca="false">$C17*G17+$D17*(1-G17)</f>
        <v>0.039995</v>
      </c>
      <c r="K17" s="30" t="n">
        <v>180</v>
      </c>
      <c r="L17" s="37" t="s">
        <v>92</v>
      </c>
      <c r="M17" s="37" t="s">
        <v>279</v>
      </c>
    </row>
    <row r="18" customFormat="false" ht="39.55" hidden="false" customHeight="false" outlineLevel="0" collapsed="false">
      <c r="A18" s="37" t="s">
        <v>280</v>
      </c>
      <c r="B18" s="37" t="s">
        <v>281</v>
      </c>
      <c r="C18" s="30" t="n">
        <v>5.3</v>
      </c>
      <c r="D18" s="30" t="n">
        <v>0.1</v>
      </c>
      <c r="E18" s="38" t="n">
        <v>0.05</v>
      </c>
      <c r="F18" s="38" t="n">
        <v>0.15</v>
      </c>
      <c r="G18" s="38" t="n">
        <v>1</v>
      </c>
      <c r="H18" s="39" t="n">
        <f aca="false">$C18*E18+$D18*(1-E18)</f>
        <v>0.36</v>
      </c>
      <c r="I18" s="39" t="n">
        <f aca="false">$C18*F18+$D18*(1-F18)</f>
        <v>0.88</v>
      </c>
      <c r="J18" s="39" t="n">
        <f aca="false">$C18*G18+$D18*(1-G18)</f>
        <v>5.3</v>
      </c>
      <c r="K18" s="30" t="n">
        <v>10</v>
      </c>
      <c r="L18" s="37" t="s">
        <v>92</v>
      </c>
      <c r="M18" s="37" t="s">
        <v>282</v>
      </c>
    </row>
    <row r="19" customFormat="false" ht="26.85" hidden="false" customHeight="false" outlineLevel="0" collapsed="false">
      <c r="A19" s="37" t="s">
        <v>283</v>
      </c>
      <c r="B19" s="37" t="s">
        <v>284</v>
      </c>
      <c r="C19" s="30" t="n">
        <v>20</v>
      </c>
      <c r="D19" s="30" t="n">
        <v>0.05</v>
      </c>
      <c r="E19" s="38" t="n">
        <v>0.05</v>
      </c>
      <c r="F19" s="38" t="n">
        <v>0.15</v>
      </c>
      <c r="G19" s="38" t="n">
        <v>1</v>
      </c>
      <c r="H19" s="39" t="n">
        <f aca="false">$C19*E19+$D19*(1-E19)</f>
        <v>1.0475</v>
      </c>
      <c r="I19" s="39" t="n">
        <f aca="false">$C19*F19+$D19*(1-F19)</f>
        <v>3.0425</v>
      </c>
      <c r="J19" s="39" t="n">
        <f aca="false">$C19*G19+$D19*(1-G19)</f>
        <v>20</v>
      </c>
      <c r="K19" s="30" t="n">
        <v>42</v>
      </c>
      <c r="L19" s="37" t="s">
        <v>133</v>
      </c>
      <c r="M19" s="37" t="s">
        <v>285</v>
      </c>
    </row>
    <row r="20" customFormat="false" ht="15" hidden="false" customHeight="false" outlineLevel="0" collapsed="false">
      <c r="A20" s="37" t="s">
        <v>286</v>
      </c>
      <c r="B20" s="37" t="s">
        <v>287</v>
      </c>
      <c r="C20" s="30" t="n">
        <v>65</v>
      </c>
      <c r="D20" s="30" t="n">
        <v>0.004</v>
      </c>
      <c r="E20" s="38" t="n">
        <v>0.001</v>
      </c>
      <c r="F20" s="38" t="n">
        <v>0.002</v>
      </c>
      <c r="G20" s="38" t="n">
        <v>0.005</v>
      </c>
      <c r="H20" s="39" t="n">
        <f aca="false">$C20*E20+$D20*(1-E20)</f>
        <v>0.068996</v>
      </c>
      <c r="I20" s="39" t="n">
        <f aca="false">$C20*F20+$D20*(1-F20)</f>
        <v>0.133992</v>
      </c>
      <c r="J20" s="39" t="n">
        <f aca="false">$C20*G20+$D20*(1-G20)</f>
        <v>0.32898</v>
      </c>
      <c r="K20" s="30" t="n">
        <v>80</v>
      </c>
      <c r="L20" s="37" t="s">
        <v>133</v>
      </c>
      <c r="M20" s="37" t="s">
        <v>288</v>
      </c>
    </row>
    <row r="21" customFormat="false" ht="15" hidden="false" customHeight="false" outlineLevel="0" collapsed="false">
      <c r="A21" s="37" t="s">
        <v>289</v>
      </c>
      <c r="B21" s="37" t="s">
        <v>290</v>
      </c>
      <c r="C21" s="30" t="n">
        <v>0.023</v>
      </c>
      <c r="D21" s="30" t="n">
        <v>0.003</v>
      </c>
      <c r="E21" s="38" t="n">
        <v>1</v>
      </c>
      <c r="F21" s="38" t="n">
        <v>1</v>
      </c>
      <c r="G21" s="38" t="n">
        <v>1</v>
      </c>
      <c r="H21" s="39" t="n">
        <f aca="false">$C21*E21+$D21*(1-E21)</f>
        <v>0.023</v>
      </c>
      <c r="I21" s="39" t="n">
        <f aca="false">$C21*F21+$D21*(1-F21)</f>
        <v>0.023</v>
      </c>
      <c r="J21" s="39" t="n">
        <f aca="false">$C21*G21+$D21*(1-G21)</f>
        <v>0.023</v>
      </c>
      <c r="K21" s="30" t="n">
        <v>0.04</v>
      </c>
      <c r="L21" s="37" t="s">
        <v>133</v>
      </c>
      <c r="M21" s="37" t="s">
        <v>291</v>
      </c>
    </row>
    <row r="22" customFormat="false" ht="15" hidden="false" customHeight="false" outlineLevel="0" collapsed="false">
      <c r="A22" s="37" t="s">
        <v>292</v>
      </c>
      <c r="B22" s="37" t="s">
        <v>293</v>
      </c>
      <c r="C22" s="30" t="n">
        <v>0.015</v>
      </c>
      <c r="D22" s="30" t="n">
        <v>0</v>
      </c>
      <c r="E22" s="38" t="n">
        <v>1</v>
      </c>
      <c r="F22" s="38" t="n">
        <v>1</v>
      </c>
      <c r="G22" s="38" t="n">
        <v>1</v>
      </c>
      <c r="H22" s="39" t="n">
        <f aca="false">$C22*E22+$D22*(1-E22)</f>
        <v>0.015</v>
      </c>
      <c r="I22" s="39" t="n">
        <f aca="false">$C22*F22+$D22*(1-F22)</f>
        <v>0.015</v>
      </c>
      <c r="J22" s="39" t="n">
        <f aca="false">$C22*G22+$D22*(1-G22)</f>
        <v>0.015</v>
      </c>
      <c r="K22" s="30" t="n">
        <v>0</v>
      </c>
      <c r="L22" s="37" t="s">
        <v>92</v>
      </c>
      <c r="M22" s="37" t="s">
        <v>294</v>
      </c>
    </row>
    <row r="23" customFormat="false" ht="15" hidden="false" customHeight="false" outlineLevel="0" collapsed="false">
      <c r="A23" s="37" t="s">
        <v>295</v>
      </c>
      <c r="B23" s="37" t="s">
        <v>156</v>
      </c>
      <c r="C23" s="30" t="n">
        <v>0.02</v>
      </c>
      <c r="D23" s="30" t="n">
        <v>0</v>
      </c>
      <c r="E23" s="38" t="n">
        <v>1</v>
      </c>
      <c r="F23" s="38" t="n">
        <v>1</v>
      </c>
      <c r="G23" s="38" t="n">
        <v>1</v>
      </c>
      <c r="H23" s="39" t="n">
        <f aca="false">$C23*E23+$D23*(1-E23)</f>
        <v>0.02</v>
      </c>
      <c r="I23" s="39" t="n">
        <f aca="false">$C23*F23+$D23*(1-F23)</f>
        <v>0.02</v>
      </c>
      <c r="J23" s="39" t="n">
        <f aca="false">$C23*G23+$D23*(1-G23)</f>
        <v>0.02</v>
      </c>
      <c r="K23" s="30" t="n">
        <v>0</v>
      </c>
      <c r="L23" s="37" t="s">
        <v>133</v>
      </c>
      <c r="M23" s="37" t="s">
        <v>296</v>
      </c>
    </row>
    <row r="25" customFormat="false" ht="15" hidden="false" customHeight="false" outlineLevel="0" collapsed="false">
      <c r="A25" s="9" t="s">
        <v>297</v>
      </c>
      <c r="H25" s="42" t="n">
        <f aca="false">SUM(H12:H23)</f>
        <v>16.76642250944</v>
      </c>
      <c r="I25" s="42" t="n">
        <f aca="false">SUM(I12:I23)</f>
        <v>24.57330652832</v>
      </c>
      <c r="J25" s="42" t="n">
        <f aca="false">SUM(J12:J23)</f>
        <v>60.5437718208</v>
      </c>
    </row>
    <row r="26" customFormat="false" ht="15" hidden="false" customHeight="false" outlineLevel="0" collapsed="false">
      <c r="A26" s="9" t="s">
        <v>21</v>
      </c>
      <c r="H26" s="42" t="n">
        <f aca="false">H25*Inputs!$B$8/(Inputs!$B$7*Inputs!$B$9)</f>
        <v>16.6153736580036</v>
      </c>
      <c r="I26" s="42" t="n">
        <f aca="false">I25*Inputs!$B$8/(Inputs!$B$7*Inputs!$B$9)</f>
        <v>24.3519253884252</v>
      </c>
      <c r="J26" s="42" t="n">
        <f aca="false">J25*Inputs!$B$8/(Inputs!$B$7*Inputs!$B$9)</f>
        <v>59.998332435027</v>
      </c>
    </row>
    <row r="27" customFormat="false" ht="15" hidden="false" customHeight="false" outlineLevel="0" collapsed="false">
      <c r="A27" s="9" t="s">
        <v>22</v>
      </c>
      <c r="H27" s="42" t="n">
        <f aca="false">Inputs!$B$5*Inputs!$B$6/H26</f>
        <v>25.5787205721539</v>
      </c>
      <c r="I27" s="42" t="n">
        <f aca="false">Inputs!$B$5*Inputs!$B$6/I26</f>
        <v>17.4524187808989</v>
      </c>
      <c r="J27" s="42" t="n">
        <f aca="false">Inputs!$B$5*Inputs!$B$6/J26</f>
        <v>7.08353020411422</v>
      </c>
    </row>
    <row r="28" customFormat="false" ht="15" hidden="false" customHeight="false" outlineLevel="0" collapsed="false">
      <c r="A28" s="9" t="s">
        <v>298</v>
      </c>
      <c r="H28" s="43" t="str">
        <f aca="false">IF(H27&gt;=Inputs!$B$10,"YES","NO")</f>
        <v>YES</v>
      </c>
      <c r="I28" s="43" t="str">
        <f aca="false">IF(I27&gt;=Inputs!$B$10,"YES","NO")</f>
        <v>YES</v>
      </c>
      <c r="J28" s="43" t="str">
        <f aca="false">IF(J27&gt;=Inputs!$B$10,"YES","NO")</f>
        <v>NO</v>
      </c>
    </row>
    <row r="30" customFormat="false" ht="15" hidden="false" customHeight="false" outlineLevel="0" collapsed="false">
      <c r="A30" s="9" t="s">
        <v>299</v>
      </c>
      <c r="H30" s="44" t="n">
        <f aca="false">SUMPRODUCT(H26:J26,E7:G7)</f>
        <v>25.98242816048</v>
      </c>
    </row>
    <row r="31" customFormat="false" ht="15" hidden="false" customHeight="false" outlineLevel="0" collapsed="false">
      <c r="A31" s="9" t="s">
        <v>300</v>
      </c>
      <c r="H31" s="45" t="n">
        <f aca="false">Inputs!$B$5*Inputs!$B$6/H30</f>
        <v>16.3572087017809</v>
      </c>
    </row>
    <row r="32" customFormat="false" ht="15" hidden="false" customHeight="false" outlineLevel="0" collapsed="false">
      <c r="A32" s="9" t="s">
        <v>301</v>
      </c>
      <c r="H32" s="46" t="n">
        <f aca="false">H31-Inputs!$B$10</f>
        <v>8.35720870178088</v>
      </c>
    </row>
    <row r="34" customFormat="false" ht="15" hidden="false" customHeight="false" outlineLevel="0" collapsed="false">
      <c r="A34" s="9" t="s">
        <v>302</v>
      </c>
    </row>
    <row r="35" customFormat="false" ht="15" hidden="false" customHeight="false" outlineLevel="0" collapsed="false">
      <c r="A35" s="11" t="s">
        <v>303</v>
      </c>
      <c r="K35" s="47" t="n">
        <f aca="false">SUM(K12:K23)</f>
        <v>530.04</v>
      </c>
    </row>
    <row r="36" customFormat="false" ht="15" hidden="false" customHeight="false" outlineLevel="0" collapsed="false">
      <c r="A36" s="11" t="s">
        <v>304</v>
      </c>
      <c r="K36" s="47" t="n">
        <f aca="false">K35-K17</f>
        <v>350.04</v>
      </c>
    </row>
    <row r="37" customFormat="false" ht="15" hidden="false" customHeight="false" outlineLevel="0" collapsed="false">
      <c r="A37" s="11" t="s">
        <v>305</v>
      </c>
      <c r="K37" s="47" t="n">
        <f aca="false">K36*Inputs!$B$8/(Inputs!$B$11*Inputs!$B$12)</f>
        <v>452.992941176471</v>
      </c>
    </row>
    <row r="38" customFormat="false" ht="15" hidden="false" customHeight="false" outlineLevel="0" collapsed="false">
      <c r="A38" s="11" t="s">
        <v>306</v>
      </c>
      <c r="K38" s="48" t="n">
        <f aca="false">K37/Inputs!$B$5</f>
        <v>0.905985882352941</v>
      </c>
    </row>
    <row r="39" customFormat="false" ht="15" hidden="false" customHeight="false" outlineLevel="0" collapsed="false">
      <c r="A39" s="11" t="s">
        <v>307</v>
      </c>
      <c r="K39" s="43" t="str">
        <f aca="false">IF(K38&lt;=Inputs!$B$13,"YES","NO - add bulk cap / stagger loads")</f>
        <v>YES</v>
      </c>
    </row>
    <row r="40" customFormat="false" ht="15" hidden="false" customHeight="false" outlineLevel="0" collapsed="false">
      <c r="A40" s="11" t="s">
        <v>308</v>
      </c>
      <c r="K40" s="43" t="str">
        <f aca="false">IF(K36&lt;=300,"YES","NO - use TPS63802-class buck-boost")</f>
        <v>NO - use TPS63802-class buck-boost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309</v>
      </c>
    </row>
    <row r="3" customFormat="false" ht="15" hidden="false" customHeight="false" outlineLevel="0" collapsed="false">
      <c r="A3" s="3" t="s">
        <v>310</v>
      </c>
      <c r="B3" s="3" t="s">
        <v>311</v>
      </c>
    </row>
    <row r="4" customFormat="false" ht="15" hidden="false" customHeight="false" outlineLevel="0" collapsed="false">
      <c r="A4" s="11" t="s">
        <v>312</v>
      </c>
      <c r="B4" s="11" t="s">
        <v>313</v>
      </c>
    </row>
    <row r="5" customFormat="false" ht="15" hidden="false" customHeight="false" outlineLevel="0" collapsed="false">
      <c r="A5" s="11" t="s">
        <v>314</v>
      </c>
      <c r="B5" s="11" t="s">
        <v>315</v>
      </c>
    </row>
    <row r="6" customFormat="false" ht="15" hidden="false" customHeight="false" outlineLevel="0" collapsed="false">
      <c r="A6" s="11" t="s">
        <v>316</v>
      </c>
      <c r="B6" s="11" t="s">
        <v>317</v>
      </c>
    </row>
    <row r="7" customFormat="false" ht="15" hidden="false" customHeight="false" outlineLevel="0" collapsed="false">
      <c r="A7" s="11" t="s">
        <v>318</v>
      </c>
      <c r="B7" s="11" t="s">
        <v>319</v>
      </c>
    </row>
    <row r="8" customFormat="false" ht="15" hidden="false" customHeight="false" outlineLevel="0" collapsed="false">
      <c r="A8" s="11" t="s">
        <v>320</v>
      </c>
      <c r="B8" s="11" t="s">
        <v>321</v>
      </c>
    </row>
    <row r="9" customFormat="false" ht="15" hidden="false" customHeight="false" outlineLevel="0" collapsed="false">
      <c r="A9" s="11" t="s">
        <v>322</v>
      </c>
      <c r="B9" s="11" t="s">
        <v>323</v>
      </c>
    </row>
    <row r="10" customFormat="false" ht="15" hidden="false" customHeight="false" outlineLevel="0" collapsed="false">
      <c r="A10" s="11" t="s">
        <v>324</v>
      </c>
      <c r="B10" s="11" t="s">
        <v>325</v>
      </c>
    </row>
    <row r="11" customFormat="false" ht="15" hidden="false" customHeight="false" outlineLevel="0" collapsed="false">
      <c r="A11" s="11" t="s">
        <v>326</v>
      </c>
      <c r="B11" s="11" t="s">
        <v>327</v>
      </c>
    </row>
    <row r="12" customFormat="false" ht="15" hidden="false" customHeight="false" outlineLevel="0" collapsed="false">
      <c r="A12" s="11" t="s">
        <v>328</v>
      </c>
      <c r="B12" s="11" t="s">
        <v>329</v>
      </c>
    </row>
    <row r="13" customFormat="false" ht="15" hidden="false" customHeight="false" outlineLevel="0" collapsed="false">
      <c r="A13" s="11" t="s">
        <v>330</v>
      </c>
      <c r="B13" s="11" t="s">
        <v>331</v>
      </c>
    </row>
    <row r="14" customFormat="false" ht="15" hidden="false" customHeight="false" outlineLevel="0" collapsed="false">
      <c r="A14" s="11" t="s">
        <v>332</v>
      </c>
      <c r="B14" s="11" t="s">
        <v>333</v>
      </c>
    </row>
    <row r="15" customFormat="false" ht="15" hidden="false" customHeight="false" outlineLevel="0" collapsed="false">
      <c r="A15" s="11" t="s">
        <v>334</v>
      </c>
      <c r="B15" s="11" t="s">
        <v>335</v>
      </c>
    </row>
    <row r="16" customFormat="false" ht="15" hidden="false" customHeight="false" outlineLevel="0" collapsed="false">
      <c r="A16" s="11" t="s">
        <v>336</v>
      </c>
      <c r="B16" s="11" t="s">
        <v>337</v>
      </c>
    </row>
    <row r="17" customFormat="false" ht="15" hidden="false" customHeight="false" outlineLevel="0" collapsed="false">
      <c r="A17" s="11" t="s">
        <v>338</v>
      </c>
      <c r="B17" s="11" t="s">
        <v>339</v>
      </c>
    </row>
    <row r="18" customFormat="false" ht="15" hidden="false" customHeight="false" outlineLevel="0" collapsed="false">
      <c r="A18" s="11" t="s">
        <v>340</v>
      </c>
      <c r="B18" s="11" t="s">
        <v>341</v>
      </c>
    </row>
    <row r="19" customFormat="false" ht="15" hidden="false" customHeight="false" outlineLevel="0" collapsed="false">
      <c r="A19" s="11" t="s">
        <v>342</v>
      </c>
      <c r="B19" s="11" t="s">
        <v>343</v>
      </c>
    </row>
    <row r="20" customFormat="false" ht="15" hidden="false" customHeight="false" outlineLevel="0" collapsed="false">
      <c r="A20" s="11" t="s">
        <v>344</v>
      </c>
      <c r="B20" s="11" t="s">
        <v>345</v>
      </c>
    </row>
    <row r="21" customFormat="false" ht="15" hidden="false" customHeight="false" outlineLevel="0" collapsed="false">
      <c r="A21" s="11" t="s">
        <v>346</v>
      </c>
      <c r="B21" s="11" t="s">
        <v>347</v>
      </c>
    </row>
    <row r="22" customFormat="false" ht="15" hidden="false" customHeight="false" outlineLevel="0" collapsed="false">
      <c r="A22" s="11" t="s">
        <v>348</v>
      </c>
      <c r="B22" s="11" t="s">
        <v>349</v>
      </c>
    </row>
    <row r="23" customFormat="false" ht="15" hidden="false" customHeight="false" outlineLevel="0" collapsed="false">
      <c r="A23" s="11" t="s">
        <v>350</v>
      </c>
      <c r="B23" s="11" t="s">
        <v>351</v>
      </c>
    </row>
    <row r="24" customFormat="false" ht="15" hidden="false" customHeight="false" outlineLevel="0" collapsed="false">
      <c r="A24" s="11" t="s">
        <v>352</v>
      </c>
      <c r="B24" s="11" t="s">
        <v>353</v>
      </c>
    </row>
    <row r="25" customFormat="false" ht="15" hidden="false" customHeight="false" outlineLevel="0" collapsed="false">
      <c r="A25" s="11" t="s">
        <v>354</v>
      </c>
      <c r="B25" s="11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2026-10-23T18:33:27Z</dcterms:created>
  <dc:creator>openpyxl</dc:creator>
  <dc:description/>
  <dc:language>en-US</dc:language>
  <cp:lastModifiedBy/>
  <dcterms:modified xsi:type="dcterms:W3CDTF">2026-10-23T18:33:27Z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